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DieseArbeitsmappe"/>
  <xr:revisionPtr revIDLastSave="0" documentId="13_ncr:1_{AEF5C9B5-5D22-4EF7-881F-FF9EE3728DE0}" xr6:coauthVersionLast="41" xr6:coauthVersionMax="41" xr10:uidLastSave="{00000000-0000-0000-0000-000000000000}"/>
  <bookViews>
    <workbookView xWindow="5385" yWindow="3330" windowWidth="15375" windowHeight="7875" tabRatio="733" activeTab="3" xr2:uid="{00000000-000D-0000-FFFF-FFFF00000000}"/>
  </bookViews>
  <sheets>
    <sheet name="Stakeholders" sheetId="1" r:id="rId1"/>
    <sheet name="Goals &amp; Risks" sheetId="4" r:id="rId2"/>
    <sheet name="Requirements" sheetId="10" r:id="rId3"/>
    <sheet name="Epics" sheetId="15" r:id="rId4"/>
    <sheet name="Who does what" sheetId="14" r:id="rId5"/>
    <sheet name="_Dimensions" sheetId="13" r:id="rId6"/>
    <sheet name="_Effects" sheetId="7" r:id="rId7"/>
    <sheet name="_Scenarios" sheetId="5" r:id="rId8"/>
    <sheet name="_Domains" sheetId="16" r:id="rId9"/>
    <sheet name="_Param" sheetId="6" r:id="rId10"/>
    <sheet name="_GRREQ" sheetId="12" r:id="rId11"/>
  </sheets>
  <functionGroups builtInGroupCount="19"/>
  <definedNames>
    <definedName name="_xlnm._FilterDatabase" localSheetId="1" hidden="1">'Goals &amp; Risks'!$A$1:$H$164</definedName>
    <definedName name="_xlnm._FilterDatabase" localSheetId="4" hidden="1">'Who does what'!$A$2:$G$13</definedName>
    <definedName name="Abbreviations">_Param!$A$3:$B$18</definedName>
    <definedName name="CompTypes">_Domains!$C$2:$C$12</definedName>
    <definedName name="CompTypes_and_Explanation">_Domains!$C$2:$D$7</definedName>
    <definedName name="Dimensions">_Dimensions!$B$2:$B$11</definedName>
    <definedName name="Dims_And_Explanation">_Dimensions!$B$2:$D$11</definedName>
    <definedName name="Domains">_Domains!$A$2:$A$6</definedName>
    <definedName name="GR_Affected_Stakeholders">'Goals &amp; Risks'!$E$2:$E$226</definedName>
    <definedName name="GR_All">'Goals &amp; Risks'!$A$2:$H$226</definedName>
    <definedName name="GR_Degrees">'Goals &amp; Risks'!$G$2:$G$226</definedName>
    <definedName name="GR_Dims_System_might_affect">'Goals &amp; Risks'!$F$2:$F$226</definedName>
    <definedName name="GR_IDs">'Goals &amp; Risks'!$A$2:$A$226</definedName>
    <definedName name="Realization_Explanation">_Param!$D$3:$G$13</definedName>
    <definedName name="Req_IDs">Requirements!$A$7:$A$196</definedName>
    <definedName name="Reqs_and_Explanation">Requirements!$A$7:$C$496</definedName>
    <definedName name="Scenarios">_Scenarios!$B$3:$B$17</definedName>
    <definedName name="Scens_And_Explanation">_Scenarios!$B$3:$C$17</definedName>
    <definedName name="Stakeholders">Stakeholders!$A$3:$A$13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17" i="15" l="1"/>
  <c r="C15" i="15"/>
  <c r="C14" i="15"/>
  <c r="C13" i="15"/>
  <c r="C12" i="15"/>
  <c r="C11" i="15"/>
  <c r="C10" i="15"/>
  <c r="A10" i="15"/>
  <c r="A65" i="4" l="1"/>
  <c r="A69" i="4"/>
  <c r="A68" i="4"/>
  <c r="A67" i="4"/>
  <c r="A66" i="4"/>
  <c r="A11" i="4"/>
  <c r="A338" i="15" l="1"/>
  <c r="A337" i="15"/>
  <c r="A336" i="15"/>
  <c r="A335" i="15"/>
  <c r="A334" i="15"/>
  <c r="A333" i="15"/>
  <c r="A332" i="15"/>
  <c r="A331" i="15"/>
  <c r="A330" i="15"/>
  <c r="A329" i="15"/>
  <c r="A328" i="15"/>
  <c r="A327" i="15"/>
  <c r="A326" i="15"/>
  <c r="A325" i="15"/>
  <c r="A324" i="15"/>
  <c r="A323" i="15"/>
  <c r="A322" i="15"/>
  <c r="A321" i="15"/>
  <c r="A320" i="15"/>
  <c r="A319" i="15"/>
  <c r="A318" i="15"/>
  <c r="A317" i="15"/>
  <c r="A316" i="15"/>
  <c r="A315" i="15"/>
  <c r="A314" i="15"/>
  <c r="A313" i="15"/>
  <c r="A312" i="15"/>
  <c r="A311" i="15"/>
  <c r="A310" i="15"/>
  <c r="A309" i="15"/>
  <c r="A308" i="15"/>
  <c r="A307" i="15"/>
  <c r="A306" i="15"/>
  <c r="A305" i="15"/>
  <c r="A304" i="15"/>
  <c r="A303" i="15"/>
  <c r="A302" i="15"/>
  <c r="A301" i="15"/>
  <c r="A300" i="15"/>
  <c r="A299" i="15"/>
  <c r="A298" i="15"/>
  <c r="A297" i="15"/>
  <c r="A296" i="15"/>
  <c r="A295" i="15"/>
  <c r="A294" i="15"/>
  <c r="A293" i="15"/>
  <c r="A292" i="15"/>
  <c r="A291" i="15"/>
  <c r="A290" i="15"/>
  <c r="A289" i="15"/>
  <c r="A288" i="15"/>
  <c r="A287" i="15"/>
  <c r="A286" i="15"/>
  <c r="A285" i="15"/>
  <c r="A284" i="15"/>
  <c r="A283" i="15"/>
  <c r="A282" i="15"/>
  <c r="A281" i="15"/>
  <c r="A280" i="15"/>
  <c r="A279" i="15"/>
  <c r="A278" i="15"/>
  <c r="A277" i="15"/>
  <c r="A276" i="15"/>
  <c r="A275" i="15"/>
  <c r="A274" i="15"/>
  <c r="A273" i="15"/>
  <c r="A272" i="15"/>
  <c r="A271" i="15"/>
  <c r="A270" i="15"/>
  <c r="A269" i="15"/>
  <c r="A268" i="15"/>
  <c r="A267" i="15"/>
  <c r="A266" i="15"/>
  <c r="A265" i="15"/>
  <c r="A264" i="15"/>
  <c r="A263" i="15"/>
  <c r="A262" i="15"/>
  <c r="A261" i="15"/>
  <c r="A260" i="15"/>
  <c r="A259" i="15"/>
  <c r="A258" i="15"/>
  <c r="A257" i="15"/>
  <c r="A256" i="15"/>
  <c r="A255" i="15"/>
  <c r="A254" i="15"/>
  <c r="A253" i="15"/>
  <c r="A252" i="15"/>
  <c r="A251" i="15"/>
  <c r="A250" i="15"/>
  <c r="A249" i="15"/>
  <c r="A248" i="15"/>
  <c r="A247" i="15"/>
  <c r="A246" i="15"/>
  <c r="A245" i="15"/>
  <c r="A244" i="15"/>
  <c r="A243" i="15"/>
  <c r="A242" i="15"/>
  <c r="A241" i="15"/>
  <c r="A240" i="15"/>
  <c r="A239" i="15"/>
  <c r="A238" i="15"/>
  <c r="A237" i="15"/>
  <c r="A236" i="15"/>
  <c r="A235" i="15"/>
  <c r="A234" i="15"/>
  <c r="A233" i="15"/>
  <c r="A232" i="15"/>
  <c r="A231" i="15"/>
  <c r="A230" i="15"/>
  <c r="A229" i="15"/>
  <c r="A228" i="15"/>
  <c r="A227" i="15"/>
  <c r="A226" i="15"/>
  <c r="A225" i="15"/>
  <c r="A224" i="15"/>
  <c r="A223" i="15"/>
  <c r="A222" i="15"/>
  <c r="A221" i="15"/>
  <c r="A220" i="15"/>
  <c r="A219" i="15"/>
  <c r="A218" i="15"/>
  <c r="A217" i="15"/>
  <c r="A216" i="15"/>
  <c r="A215" i="15"/>
  <c r="A214" i="15"/>
  <c r="A213" i="15"/>
  <c r="A212" i="15"/>
  <c r="A211" i="15"/>
  <c r="A210" i="15"/>
  <c r="A209" i="15"/>
  <c r="A208" i="15"/>
  <c r="A207" i="15"/>
  <c r="A206" i="15"/>
  <c r="A205" i="15"/>
  <c r="A204" i="15"/>
  <c r="A203" i="15"/>
  <c r="A202" i="15"/>
  <c r="A201" i="15"/>
  <c r="A200" i="15"/>
  <c r="A199" i="15"/>
  <c r="A198" i="15"/>
  <c r="A197" i="15"/>
  <c r="A196" i="15"/>
  <c r="A195" i="15"/>
  <c r="A194" i="15"/>
  <c r="A193" i="15"/>
  <c r="A192" i="15"/>
  <c r="A191" i="15"/>
  <c r="A190" i="15"/>
  <c r="A189" i="15"/>
  <c r="A188" i="15"/>
  <c r="A187" i="15"/>
  <c r="A186" i="15"/>
  <c r="A185" i="15"/>
  <c r="A184" i="15"/>
  <c r="A183" i="15"/>
  <c r="A182" i="15"/>
  <c r="A181" i="15"/>
  <c r="A180" i="15"/>
  <c r="A179" i="15"/>
  <c r="A178" i="15"/>
  <c r="A177" i="15"/>
  <c r="A176" i="15"/>
  <c r="A175" i="15"/>
  <c r="A174" i="15"/>
  <c r="A173" i="15"/>
  <c r="A172" i="15"/>
  <c r="A171" i="15"/>
  <c r="A170" i="15"/>
  <c r="A169" i="15"/>
  <c r="A168" i="15"/>
  <c r="A167" i="15"/>
  <c r="A166" i="15"/>
  <c r="A165" i="15"/>
  <c r="A164" i="15"/>
  <c r="A163" i="15"/>
  <c r="A162" i="15"/>
  <c r="A161" i="15"/>
  <c r="A160" i="15"/>
  <c r="A159" i="15"/>
  <c r="A158" i="15"/>
  <c r="A157" i="15"/>
  <c r="A156" i="15"/>
  <c r="A155" i="15"/>
  <c r="A154" i="15"/>
  <c r="A153" i="15"/>
  <c r="A152" i="15"/>
  <c r="A151" i="15"/>
  <c r="A150" i="15"/>
  <c r="A149" i="15"/>
  <c r="A148" i="15"/>
  <c r="A147" i="15"/>
  <c r="A146" i="15"/>
  <c r="A145" i="15"/>
  <c r="A144" i="15"/>
  <c r="A143" i="15"/>
  <c r="A142" i="15"/>
  <c r="A141" i="15"/>
  <c r="A140" i="15"/>
  <c r="A139" i="15"/>
  <c r="A138" i="15"/>
  <c r="A137" i="15"/>
  <c r="A136" i="15"/>
  <c r="A135" i="15"/>
  <c r="A134" i="15"/>
  <c r="A133" i="15"/>
  <c r="A132" i="15"/>
  <c r="A131" i="15"/>
  <c r="A130" i="15"/>
  <c r="A129" i="15"/>
  <c r="A128" i="15"/>
  <c r="A127" i="15"/>
  <c r="A126" i="15"/>
  <c r="A125" i="15"/>
  <c r="A124" i="15"/>
  <c r="A123" i="15"/>
  <c r="A122" i="15"/>
  <c r="A121" i="15"/>
  <c r="A120" i="15"/>
  <c r="A119" i="15"/>
  <c r="A118" i="15"/>
  <c r="A117" i="15"/>
  <c r="A116" i="15"/>
  <c r="A115" i="15"/>
  <c r="A114" i="15"/>
  <c r="A113" i="15"/>
  <c r="A112" i="15"/>
  <c r="A111" i="15"/>
  <c r="A110" i="15"/>
  <c r="A109" i="15"/>
  <c r="A108" i="15"/>
  <c r="A107" i="15"/>
  <c r="A106" i="15"/>
  <c r="A105" i="15"/>
  <c r="A104" i="15"/>
  <c r="A103" i="15"/>
  <c r="A102" i="15"/>
  <c r="A101" i="15"/>
  <c r="A100" i="15"/>
  <c r="A99" i="15"/>
  <c r="A98" i="15"/>
  <c r="A97" i="15"/>
  <c r="A96" i="15"/>
  <c r="A95" i="15"/>
  <c r="A94" i="15"/>
  <c r="A93" i="15"/>
  <c r="A92" i="15"/>
  <c r="A91" i="15"/>
  <c r="A90" i="15"/>
  <c r="A89" i="15"/>
  <c r="A88" i="15"/>
  <c r="A87" i="15"/>
  <c r="A86" i="15"/>
  <c r="A85" i="15"/>
  <c r="A84" i="15"/>
  <c r="A83" i="15"/>
  <c r="A82" i="15"/>
  <c r="A81" i="15"/>
  <c r="A80" i="15"/>
  <c r="A79" i="15"/>
  <c r="A78" i="15"/>
  <c r="A77" i="15"/>
  <c r="A76" i="15"/>
  <c r="A75" i="15"/>
  <c r="A74" i="15"/>
  <c r="A73" i="15"/>
  <c r="A72" i="15"/>
  <c r="A71" i="15"/>
  <c r="A70" i="15"/>
  <c r="A69" i="15"/>
  <c r="A68" i="15"/>
  <c r="A67" i="15"/>
  <c r="A66" i="15"/>
  <c r="A65" i="15"/>
  <c r="A64" i="15"/>
  <c r="A63" i="15"/>
  <c r="A62" i="15"/>
  <c r="A61" i="15"/>
  <c r="A60" i="15"/>
  <c r="A59" i="15"/>
  <c r="A58" i="15"/>
  <c r="A57" i="15"/>
  <c r="A56" i="15"/>
  <c r="A55" i="15"/>
  <c r="A54" i="15"/>
  <c r="A53" i="15"/>
  <c r="A52" i="15"/>
  <c r="A51" i="15"/>
  <c r="A50" i="15"/>
  <c r="A49" i="15"/>
  <c r="A48" i="15"/>
  <c r="A47" i="15"/>
  <c r="A46" i="15"/>
  <c r="A45" i="15"/>
  <c r="A44" i="15"/>
  <c r="A43" i="15"/>
  <c r="A42" i="15"/>
  <c r="A41" i="15"/>
  <c r="A40" i="15"/>
  <c r="A39" i="15"/>
  <c r="A38" i="15"/>
  <c r="A37" i="15"/>
  <c r="A36" i="15"/>
  <c r="A35" i="15"/>
  <c r="A34" i="15"/>
  <c r="A33" i="15"/>
  <c r="A32" i="15"/>
  <c r="A31" i="15"/>
  <c r="A30" i="15"/>
  <c r="A29" i="15"/>
  <c r="A28" i="15"/>
  <c r="A27" i="15"/>
  <c r="A26" i="15"/>
  <c r="A25" i="15"/>
  <c r="A24" i="15"/>
  <c r="A23" i="15"/>
  <c r="A22" i="15"/>
  <c r="A21" i="15"/>
  <c r="A20" i="15"/>
  <c r="A19" i="15"/>
  <c r="A18" i="15"/>
  <c r="A16" i="15"/>
  <c r="A15" i="15"/>
  <c r="A14" i="15"/>
  <c r="A13" i="15"/>
  <c r="A12" i="15"/>
  <c r="A11" i="15"/>
  <c r="A9" i="15"/>
  <c r="A8" i="15"/>
  <c r="A7" i="15"/>
  <c r="A6" i="15"/>
  <c r="A5" i="15"/>
  <c r="A4" i="15"/>
  <c r="A3" i="15"/>
  <c r="A2" i="15"/>
  <c r="D2" i="14" l="1" a="1"/>
  <c r="D2" i="14" s="1"/>
  <c r="G2" i="14" l="1"/>
  <c r="F2" i="14"/>
  <c r="E2" i="14"/>
  <c r="C13" i="14"/>
  <c r="C12" i="14"/>
  <c r="C11" i="14"/>
  <c r="C10" i="14"/>
  <c r="C9" i="14"/>
  <c r="C8" i="14"/>
  <c r="C7" i="14"/>
  <c r="C6" i="14"/>
  <c r="C5" i="14"/>
  <c r="C4" i="14"/>
  <c r="C3" i="14"/>
  <c r="A13" i="14"/>
  <c r="B13" i="14" s="1"/>
  <c r="A12" i="14"/>
  <c r="B12" i="14" s="1"/>
  <c r="A11" i="14"/>
  <c r="B11" i="14" s="1"/>
  <c r="A10" i="14"/>
  <c r="B10" i="14" s="1"/>
  <c r="A9" i="14"/>
  <c r="B9" i="14" s="1"/>
  <c r="A8" i="14"/>
  <c r="B8" i="14" s="1"/>
  <c r="A7" i="14"/>
  <c r="B7" i="14" s="1"/>
  <c r="A6" i="14"/>
  <c r="B6" i="14" s="1"/>
  <c r="A5" i="14"/>
  <c r="B5" i="14" s="1"/>
  <c r="A4" i="14"/>
  <c r="B4" i="14" s="1"/>
  <c r="A3" i="14"/>
  <c r="B3" i="14" s="1"/>
  <c r="G14" i="14" l="1"/>
  <c r="D14" i="14"/>
  <c r="E14" i="14"/>
  <c r="F14" i="14"/>
  <c r="B14" i="14"/>
  <c r="E5" i="10"/>
  <c r="F5" i="10" s="1"/>
  <c r="G5" i="10" s="1"/>
  <c r="H5" i="10" s="1"/>
  <c r="I5" i="10" s="1"/>
  <c r="J5" i="10" s="1"/>
  <c r="K5" i="10" s="1"/>
  <c r="L5" i="10" s="1"/>
  <c r="M5" i="10" s="1"/>
  <c r="N5" i="10" s="1"/>
  <c r="O5" i="10" s="1"/>
  <c r="P5" i="10" s="1"/>
  <c r="Q5" i="10" s="1"/>
  <c r="R5" i="10" s="1"/>
  <c r="S5" i="10" s="1"/>
  <c r="T5" i="10" s="1"/>
  <c r="U5" i="10" s="1"/>
  <c r="V5" i="10" s="1"/>
  <c r="W5" i="10" s="1"/>
  <c r="X5" i="10" s="1"/>
  <c r="Y5" i="10" s="1"/>
  <c r="Z5" i="10" s="1"/>
  <c r="AA5" i="10" s="1"/>
  <c r="AB5" i="10" s="1"/>
  <c r="E11" i="13" l="1"/>
  <c r="E10" i="13"/>
  <c r="E9" i="13"/>
  <c r="E8" i="13"/>
  <c r="E7" i="13"/>
  <c r="E6" i="13"/>
  <c r="E5" i="13"/>
  <c r="E4" i="13"/>
  <c r="E3" i="13"/>
  <c r="E2" i="13"/>
  <c r="A29" i="4" l="1"/>
  <c r="B29" i="4" s="1"/>
  <c r="A28" i="4"/>
  <c r="B28" i="4" s="1"/>
  <c r="A27" i="4"/>
  <c r="B27" i="4" s="1"/>
  <c r="A39" i="4"/>
  <c r="B39" i="4" s="1"/>
  <c r="A38" i="4"/>
  <c r="B38" i="4" s="1"/>
  <c r="A37" i="4"/>
  <c r="B37" i="4" s="1"/>
  <c r="A40" i="4"/>
  <c r="B40" i="4" s="1"/>
  <c r="A33" i="4"/>
  <c r="B33" i="4" s="1"/>
  <c r="A34" i="4"/>
  <c r="B34" i="4" s="1"/>
  <c r="A32" i="4"/>
  <c r="B32" i="4" s="1"/>
  <c r="A31" i="4"/>
  <c r="B31" i="4" s="1"/>
  <c r="A30" i="4"/>
  <c r="B30" i="4" s="1"/>
  <c r="A25" i="4"/>
  <c r="B25" i="4" s="1"/>
  <c r="A26" i="4"/>
  <c r="B26" i="4" s="1"/>
  <c r="A24" i="4"/>
  <c r="B24" i="4" s="1"/>
  <c r="A23" i="4"/>
  <c r="B23" i="4" s="1"/>
  <c r="A22" i="4"/>
  <c r="B22" i="4" s="1"/>
  <c r="V6" i="1"/>
  <c r="U6" i="1"/>
  <c r="T6" i="1"/>
  <c r="S6" i="1"/>
  <c r="R6" i="1"/>
  <c r="Q6" i="1"/>
  <c r="P6" i="1"/>
  <c r="O6" i="1"/>
  <c r="N6" i="1"/>
  <c r="M6" i="1"/>
  <c r="L6" i="1"/>
  <c r="K6" i="1"/>
  <c r="J6" i="1"/>
  <c r="I6" i="1"/>
  <c r="H6" i="1"/>
  <c r="G6" i="1"/>
  <c r="F6" i="1"/>
  <c r="E6" i="1"/>
  <c r="D6" i="1"/>
  <c r="C6" i="1"/>
  <c r="V5" i="1"/>
  <c r="U5" i="1"/>
  <c r="T5" i="1"/>
  <c r="S5" i="1"/>
  <c r="R5" i="1"/>
  <c r="Q5" i="1"/>
  <c r="P5" i="1"/>
  <c r="O5" i="1"/>
  <c r="N5" i="1"/>
  <c r="M5" i="1"/>
  <c r="L5" i="1"/>
  <c r="K5" i="1"/>
  <c r="J5" i="1"/>
  <c r="I5" i="1"/>
  <c r="H5" i="1"/>
  <c r="G5" i="1"/>
  <c r="F5" i="1"/>
  <c r="E5" i="1"/>
  <c r="D5" i="1"/>
  <c r="C5" i="1"/>
  <c r="A47" i="4"/>
  <c r="B47" i="4" s="1"/>
  <c r="A36" i="4"/>
  <c r="B36" i="4" s="1"/>
  <c r="A21" i="4" l="1"/>
  <c r="B21" i="4" s="1"/>
  <c r="A20" i="4"/>
  <c r="B20" i="4" s="1"/>
  <c r="B11" i="4"/>
  <c r="A16" i="4"/>
  <c r="B16" i="4" s="1"/>
  <c r="A15" i="4"/>
  <c r="B15" i="4" s="1"/>
  <c r="A10" i="4"/>
  <c r="B10" i="4" s="1"/>
  <c r="A9" i="4"/>
  <c r="B9" i="4" s="1"/>
  <c r="P13" i="1"/>
  <c r="O13" i="1"/>
  <c r="P12" i="1"/>
  <c r="O12" i="1"/>
  <c r="P11" i="1"/>
  <c r="O11" i="1"/>
  <c r="P10" i="1"/>
  <c r="O10" i="1"/>
  <c r="P9" i="1"/>
  <c r="O9" i="1"/>
  <c r="P8" i="1"/>
  <c r="O8" i="1"/>
  <c r="P7" i="1"/>
  <c r="O7" i="1"/>
  <c r="P4" i="1"/>
  <c r="O4" i="1"/>
  <c r="P3" i="1"/>
  <c r="O3" i="1"/>
  <c r="A4" i="4" l="1"/>
  <c r="B4" i="4" s="1"/>
  <c r="F13" i="6" l="1"/>
  <c r="F12" i="6"/>
  <c r="F11" i="6"/>
  <c r="F10" i="6"/>
  <c r="F9" i="6"/>
  <c r="F8" i="6"/>
  <c r="F7" i="6"/>
  <c r="F6" i="6"/>
  <c r="F5" i="6"/>
  <c r="F4" i="6"/>
  <c r="F3" i="6" l="1"/>
  <c r="A9" i="10" l="1"/>
  <c r="A8" i="10"/>
  <c r="A7" i="10"/>
  <c r="C2" i="15" s="1"/>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69" i="10"/>
  <c r="A168" i="10"/>
  <c r="A167" i="10"/>
  <c r="A166" i="10"/>
  <c r="A165" i="10"/>
  <c r="A164" i="10"/>
  <c r="A163" i="10"/>
  <c r="A162" i="10"/>
  <c r="A161" i="10"/>
  <c r="A160" i="10"/>
  <c r="A159" i="10"/>
  <c r="A158" i="10"/>
  <c r="A157" i="10"/>
  <c r="A156" i="10"/>
  <c r="A155" i="10"/>
  <c r="A154" i="10"/>
  <c r="A153" i="10"/>
  <c r="A152" i="10"/>
  <c r="A151" i="10"/>
  <c r="A150" i="10"/>
  <c r="A149" i="10"/>
  <c r="A148" i="10"/>
  <c r="A147" i="10"/>
  <c r="A146" i="10"/>
  <c r="A145" i="10"/>
  <c r="A144" i="10"/>
  <c r="A143" i="10"/>
  <c r="A142" i="10"/>
  <c r="A141" i="10"/>
  <c r="A140" i="10"/>
  <c r="A139" i="10"/>
  <c r="A138" i="10"/>
  <c r="A137" i="10"/>
  <c r="A136" i="10"/>
  <c r="A135" i="10"/>
  <c r="A134" i="10"/>
  <c r="A133" i="10"/>
  <c r="A132" i="10"/>
  <c r="A131" i="10"/>
  <c r="A130" i="10"/>
  <c r="A129" i="10"/>
  <c r="A128" i="10"/>
  <c r="A127" i="10"/>
  <c r="A126" i="10"/>
  <c r="A125" i="10"/>
  <c r="A124" i="10"/>
  <c r="A123" i="10"/>
  <c r="A122" i="10"/>
  <c r="A121" i="10"/>
  <c r="A120" i="10"/>
  <c r="A119" i="10"/>
  <c r="A118" i="10"/>
  <c r="A117" i="10"/>
  <c r="A116" i="10"/>
  <c r="A115" i="10"/>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C7" i="15" l="1"/>
  <c r="C18" i="15"/>
  <c r="C6" i="15"/>
  <c r="C21" i="15"/>
  <c r="C17" i="15"/>
  <c r="C9" i="15"/>
  <c r="C5" i="15"/>
  <c r="C20" i="15"/>
  <c r="C16" i="15"/>
  <c r="C8" i="15"/>
  <c r="C4" i="15"/>
  <c r="C19" i="15"/>
  <c r="C281" i="15"/>
  <c r="C277" i="15"/>
  <c r="C273" i="15"/>
  <c r="C269" i="15"/>
  <c r="C265" i="15"/>
  <c r="C261" i="15"/>
  <c r="C257" i="15"/>
  <c r="C253" i="15"/>
  <c r="C249" i="15"/>
  <c r="C245" i="15"/>
  <c r="C241" i="15"/>
  <c r="C237" i="15"/>
  <c r="C280" i="15"/>
  <c r="C279" i="15"/>
  <c r="C275" i="15"/>
  <c r="C271" i="15"/>
  <c r="C267" i="15"/>
  <c r="C263" i="15"/>
  <c r="C259" i="15"/>
  <c r="C255" i="15"/>
  <c r="C251" i="15"/>
  <c r="C247" i="15"/>
  <c r="C243" i="15"/>
  <c r="C239" i="15"/>
  <c r="C235" i="15"/>
  <c r="C231" i="15"/>
  <c r="C227" i="15"/>
  <c r="C223" i="15"/>
  <c r="C219" i="15"/>
  <c r="C215" i="15"/>
  <c r="C211" i="15"/>
  <c r="C207" i="15"/>
  <c r="C203" i="15"/>
  <c r="C199" i="15"/>
  <c r="C195" i="15"/>
  <c r="C191" i="15"/>
  <c r="C187" i="15"/>
  <c r="C183" i="15"/>
  <c r="C179" i="15"/>
  <c r="C175" i="15"/>
  <c r="C171" i="15"/>
  <c r="C167" i="15"/>
  <c r="C163" i="15"/>
  <c r="C159" i="15"/>
  <c r="C155" i="15"/>
  <c r="C151" i="15"/>
  <c r="C147" i="15"/>
  <c r="C143" i="15"/>
  <c r="C139" i="15"/>
  <c r="C135" i="15"/>
  <c r="C131" i="15"/>
  <c r="C127" i="15"/>
  <c r="C123" i="15"/>
  <c r="C119" i="15"/>
  <c r="C115" i="15"/>
  <c r="C111" i="15"/>
  <c r="C107" i="15"/>
  <c r="C103" i="15"/>
  <c r="C99" i="15"/>
  <c r="C95" i="15"/>
  <c r="C91" i="15"/>
  <c r="C87" i="15"/>
  <c r="C83" i="15"/>
  <c r="C79" i="15"/>
  <c r="C75" i="15"/>
  <c r="C71" i="15"/>
  <c r="C67" i="15"/>
  <c r="C63" i="15"/>
  <c r="C59" i="15"/>
  <c r="C55" i="15"/>
  <c r="C51" i="15"/>
  <c r="C47" i="15"/>
  <c r="C43" i="15"/>
  <c r="C39" i="15"/>
  <c r="C35" i="15"/>
  <c r="C31" i="15"/>
  <c r="C27" i="15"/>
  <c r="C23" i="15"/>
  <c r="C278" i="15"/>
  <c r="C274" i="15"/>
  <c r="C270" i="15"/>
  <c r="C266" i="15"/>
  <c r="C262" i="15"/>
  <c r="C258" i="15"/>
  <c r="C254" i="15"/>
  <c r="C250" i="15"/>
  <c r="C246" i="15"/>
  <c r="C242" i="15"/>
  <c r="C238" i="15"/>
  <c r="C234" i="15"/>
  <c r="C230" i="15"/>
  <c r="C226" i="15"/>
  <c r="C222" i="15"/>
  <c r="C218" i="15"/>
  <c r="C214" i="15"/>
  <c r="C210" i="15"/>
  <c r="C206" i="15"/>
  <c r="C202" i="15"/>
  <c r="C276" i="15"/>
  <c r="C260" i="15"/>
  <c r="C244" i="15"/>
  <c r="C232" i="15"/>
  <c r="C224" i="15"/>
  <c r="C216" i="15"/>
  <c r="C208" i="15"/>
  <c r="C200" i="15"/>
  <c r="C194" i="15"/>
  <c r="C189" i="15"/>
  <c r="C184" i="15"/>
  <c r="C178" i="15"/>
  <c r="C173" i="15"/>
  <c r="C168" i="15"/>
  <c r="C162" i="15"/>
  <c r="C157" i="15"/>
  <c r="C152" i="15"/>
  <c r="C146" i="15"/>
  <c r="C141" i="15"/>
  <c r="C136" i="15"/>
  <c r="C130" i="15"/>
  <c r="C125" i="15"/>
  <c r="C120" i="15"/>
  <c r="C114" i="15"/>
  <c r="C109" i="15"/>
  <c r="C104" i="15"/>
  <c r="C98" i="15"/>
  <c r="C93" i="15"/>
  <c r="C88" i="15"/>
  <c r="C82" i="15"/>
  <c r="C77" i="15"/>
  <c r="C72" i="15"/>
  <c r="C66" i="15"/>
  <c r="C61" i="15"/>
  <c r="C56" i="15"/>
  <c r="C50" i="15"/>
  <c r="C45" i="15"/>
  <c r="C40" i="15"/>
  <c r="C34" i="15"/>
  <c r="C29" i="15"/>
  <c r="C24" i="15"/>
  <c r="C272" i="15"/>
  <c r="C256" i="15"/>
  <c r="C240" i="15"/>
  <c r="C229" i="15"/>
  <c r="C221" i="15"/>
  <c r="C213" i="15"/>
  <c r="C205" i="15"/>
  <c r="C198" i="15"/>
  <c r="C193" i="15"/>
  <c r="C188" i="15"/>
  <c r="C182" i="15"/>
  <c r="C177" i="15"/>
  <c r="C172" i="15"/>
  <c r="C166" i="15"/>
  <c r="C161" i="15"/>
  <c r="C156" i="15"/>
  <c r="C150" i="15"/>
  <c r="C145" i="15"/>
  <c r="C140" i="15"/>
  <c r="C134" i="15"/>
  <c r="C129" i="15"/>
  <c r="C124" i="15"/>
  <c r="C118" i="15"/>
  <c r="C113" i="15"/>
  <c r="C108" i="15"/>
  <c r="C102" i="15"/>
  <c r="C97" i="15"/>
  <c r="C92" i="15"/>
  <c r="C86" i="15"/>
  <c r="C81" i="15"/>
  <c r="C76" i="15"/>
  <c r="C70" i="15"/>
  <c r="C65" i="15"/>
  <c r="C60" i="15"/>
  <c r="C54" i="15"/>
  <c r="C49" i="15"/>
  <c r="C44" i="15"/>
  <c r="C38" i="15"/>
  <c r="C33" i="15"/>
  <c r="C28" i="15"/>
  <c r="C22" i="15"/>
  <c r="C268" i="15"/>
  <c r="C252" i="15"/>
  <c r="C236" i="15"/>
  <c r="C264" i="15"/>
  <c r="C225" i="15"/>
  <c r="C209" i="15"/>
  <c r="C196" i="15"/>
  <c r="C185" i="15"/>
  <c r="C174" i="15"/>
  <c r="C164" i="15"/>
  <c r="C153" i="15"/>
  <c r="C142" i="15"/>
  <c r="C132" i="15"/>
  <c r="C121" i="15"/>
  <c r="C110" i="15"/>
  <c r="C100" i="15"/>
  <c r="C89" i="15"/>
  <c r="C78" i="15"/>
  <c r="C68" i="15"/>
  <c r="C57" i="15"/>
  <c r="C46" i="15"/>
  <c r="C36" i="15"/>
  <c r="C25" i="15"/>
  <c r="C233" i="15"/>
  <c r="C217" i="15"/>
  <c r="C201" i="15"/>
  <c r="C190" i="15"/>
  <c r="C169" i="15"/>
  <c r="C148" i="15"/>
  <c r="C126" i="15"/>
  <c r="C105" i="15"/>
  <c r="C84" i="15"/>
  <c r="C62" i="15"/>
  <c r="C41" i="15"/>
  <c r="C228" i="15"/>
  <c r="C212" i="15"/>
  <c r="C197" i="15"/>
  <c r="C186" i="15"/>
  <c r="C176" i="15"/>
  <c r="C165" i="15"/>
  <c r="C154" i="15"/>
  <c r="C144" i="15"/>
  <c r="C122" i="15"/>
  <c r="C101" i="15"/>
  <c r="C80" i="15"/>
  <c r="C58" i="15"/>
  <c r="C37" i="15"/>
  <c r="C248" i="15"/>
  <c r="C220" i="15"/>
  <c r="C204" i="15"/>
  <c r="C192" i="15"/>
  <c r="C181" i="15"/>
  <c r="C170" i="15"/>
  <c r="C160" i="15"/>
  <c r="C149" i="15"/>
  <c r="C138" i="15"/>
  <c r="C128" i="15"/>
  <c r="C117" i="15"/>
  <c r="C106" i="15"/>
  <c r="C96" i="15"/>
  <c r="C85" i="15"/>
  <c r="C74" i="15"/>
  <c r="C64" i="15"/>
  <c r="C53" i="15"/>
  <c r="C42" i="15"/>
  <c r="C32" i="15"/>
  <c r="C3" i="15"/>
  <c r="C180" i="15"/>
  <c r="C158" i="15"/>
  <c r="C137" i="15"/>
  <c r="C116" i="15"/>
  <c r="C94" i="15"/>
  <c r="C73" i="15"/>
  <c r="C52" i="15"/>
  <c r="C30" i="15"/>
  <c r="C133" i="15"/>
  <c r="C112" i="15"/>
  <c r="C90" i="15"/>
  <c r="C69" i="15"/>
  <c r="C48" i="15"/>
  <c r="C26" i="15"/>
  <c r="A53" i="4"/>
  <c r="B53" i="4" s="1"/>
  <c r="V13" i="1"/>
  <c r="U13" i="1"/>
  <c r="T13" i="1"/>
  <c r="S13" i="1"/>
  <c r="R13" i="1"/>
  <c r="Q13" i="1"/>
  <c r="N13" i="1"/>
  <c r="M13" i="1"/>
  <c r="L13" i="1"/>
  <c r="K13" i="1"/>
  <c r="J13" i="1"/>
  <c r="I13" i="1"/>
  <c r="H13" i="1"/>
  <c r="G13" i="1"/>
  <c r="F13" i="1"/>
  <c r="E13" i="1"/>
  <c r="D13" i="1"/>
  <c r="C13" i="1"/>
  <c r="V12" i="1"/>
  <c r="U12" i="1"/>
  <c r="T12" i="1"/>
  <c r="S12" i="1"/>
  <c r="R12" i="1"/>
  <c r="Q12" i="1"/>
  <c r="N12" i="1"/>
  <c r="M12" i="1"/>
  <c r="L12" i="1"/>
  <c r="K12" i="1"/>
  <c r="J12" i="1"/>
  <c r="I12" i="1"/>
  <c r="H12" i="1"/>
  <c r="G12" i="1"/>
  <c r="F12" i="1"/>
  <c r="E12" i="1"/>
  <c r="D12" i="1"/>
  <c r="C12" i="1"/>
  <c r="V11" i="1"/>
  <c r="U11" i="1"/>
  <c r="T11" i="1"/>
  <c r="S11" i="1"/>
  <c r="R11" i="1"/>
  <c r="Q11" i="1"/>
  <c r="N11" i="1"/>
  <c r="M11" i="1"/>
  <c r="L11" i="1"/>
  <c r="K11" i="1"/>
  <c r="J11" i="1"/>
  <c r="I11" i="1"/>
  <c r="H11" i="1"/>
  <c r="G11" i="1"/>
  <c r="F11" i="1"/>
  <c r="E11" i="1"/>
  <c r="D11" i="1"/>
  <c r="C11" i="1"/>
  <c r="V10" i="1"/>
  <c r="U10" i="1"/>
  <c r="T10" i="1"/>
  <c r="S10" i="1"/>
  <c r="R10" i="1"/>
  <c r="Q10" i="1"/>
  <c r="N10" i="1"/>
  <c r="M10" i="1"/>
  <c r="L10" i="1"/>
  <c r="K10" i="1"/>
  <c r="J10" i="1"/>
  <c r="I10" i="1"/>
  <c r="H10" i="1"/>
  <c r="G10" i="1"/>
  <c r="F10" i="1"/>
  <c r="E10" i="1"/>
  <c r="D10" i="1"/>
  <c r="C10" i="1"/>
  <c r="V9" i="1"/>
  <c r="U9" i="1"/>
  <c r="T9" i="1"/>
  <c r="S9" i="1"/>
  <c r="R9" i="1"/>
  <c r="Q9" i="1"/>
  <c r="N9" i="1"/>
  <c r="M9" i="1"/>
  <c r="L9" i="1"/>
  <c r="K9" i="1"/>
  <c r="J9" i="1"/>
  <c r="I9" i="1"/>
  <c r="H9" i="1"/>
  <c r="G9" i="1"/>
  <c r="F9" i="1"/>
  <c r="E9" i="1"/>
  <c r="D9" i="1"/>
  <c r="C9" i="1"/>
  <c r="V8" i="1"/>
  <c r="U8" i="1"/>
  <c r="T8" i="1"/>
  <c r="S8" i="1"/>
  <c r="R8" i="1"/>
  <c r="Q8" i="1"/>
  <c r="N8" i="1"/>
  <c r="M8" i="1"/>
  <c r="L8" i="1"/>
  <c r="K8" i="1"/>
  <c r="J8" i="1"/>
  <c r="I8" i="1"/>
  <c r="H8" i="1"/>
  <c r="G8" i="1"/>
  <c r="F8" i="1"/>
  <c r="E8" i="1"/>
  <c r="D8" i="1"/>
  <c r="C8" i="1"/>
  <c r="V7" i="1"/>
  <c r="U7" i="1"/>
  <c r="T7" i="1"/>
  <c r="S7" i="1"/>
  <c r="R7" i="1"/>
  <c r="Q7" i="1"/>
  <c r="N7" i="1"/>
  <c r="M7" i="1"/>
  <c r="L7" i="1"/>
  <c r="K7" i="1"/>
  <c r="J7" i="1"/>
  <c r="I7" i="1"/>
  <c r="H7" i="1"/>
  <c r="G7" i="1"/>
  <c r="F7" i="1"/>
  <c r="E7" i="1"/>
  <c r="D7" i="1"/>
  <c r="C7" i="1"/>
  <c r="V4" i="1"/>
  <c r="U4" i="1"/>
  <c r="T4" i="1"/>
  <c r="S4" i="1"/>
  <c r="R4" i="1"/>
  <c r="Q4" i="1"/>
  <c r="N4" i="1"/>
  <c r="M4" i="1"/>
  <c r="L4" i="1"/>
  <c r="K4" i="1"/>
  <c r="J4" i="1"/>
  <c r="I4" i="1"/>
  <c r="H4" i="1"/>
  <c r="G4" i="1"/>
  <c r="F4" i="1"/>
  <c r="E4" i="1"/>
  <c r="D4" i="1"/>
  <c r="C4" i="1"/>
  <c r="V3" i="1"/>
  <c r="U3" i="1"/>
  <c r="T3" i="1"/>
  <c r="S3" i="1"/>
  <c r="R3" i="1"/>
  <c r="Q3" i="1"/>
  <c r="N3" i="1"/>
  <c r="M3" i="1"/>
  <c r="L3" i="1"/>
  <c r="K3" i="1"/>
  <c r="J3" i="1"/>
  <c r="I3" i="1"/>
  <c r="H3" i="1"/>
  <c r="G3" i="1"/>
  <c r="F3" i="1"/>
  <c r="E3" i="1"/>
  <c r="D3" i="1"/>
  <c r="C3" i="1"/>
  <c r="A57" i="4" l="1"/>
  <c r="B57" i="4" s="1"/>
  <c r="A50" i="4"/>
  <c r="B50" i="4" s="1"/>
  <c r="A60" i="4"/>
  <c r="B60" i="4" s="1"/>
  <c r="A59" i="4"/>
  <c r="B59" i="4" s="1"/>
  <c r="A58" i="4"/>
  <c r="B58" i="4" s="1"/>
  <c r="A51" i="4"/>
  <c r="B51" i="4" s="1"/>
  <c r="A61" i="4" l="1"/>
  <c r="B61" i="4" s="1"/>
  <c r="A56" i="4"/>
  <c r="B56" i="4" s="1"/>
  <c r="A3" i="4"/>
  <c r="B3" i="4" s="1"/>
  <c r="A2" i="4"/>
  <c r="B2" i="4" l="1"/>
  <c r="A48" i="4"/>
  <c r="B48" i="4" s="1"/>
  <c r="A42" i="4" l="1"/>
  <c r="B42" i="4" s="1"/>
  <c r="A19" i="4" l="1"/>
  <c r="B19" i="4" s="1"/>
  <c r="A64" i="4" l="1"/>
  <c r="B64" i="4" s="1"/>
  <c r="A63" i="4"/>
  <c r="B63" i="4" s="1"/>
  <c r="A62" i="4"/>
  <c r="B62" i="4" s="1"/>
  <c r="A55" i="4"/>
  <c r="B55" i="4" s="1"/>
  <c r="A54" i="4"/>
  <c r="B54" i="4" s="1"/>
  <c r="A52" i="4"/>
  <c r="B52" i="4" s="1"/>
  <c r="A49" i="4"/>
  <c r="B49" i="4" s="1"/>
  <c r="A46" i="4"/>
  <c r="B46" i="4" s="1"/>
  <c r="A45" i="4"/>
  <c r="B45" i="4" s="1"/>
  <c r="A44" i="4"/>
  <c r="B44" i="4" s="1"/>
  <c r="A43" i="4"/>
  <c r="B43" i="4" s="1"/>
  <c r="A41" i="4"/>
  <c r="B41" i="4" s="1"/>
  <c r="A35" i="4"/>
  <c r="B35" i="4" s="1"/>
  <c r="A14" i="4"/>
  <c r="B14" i="4" s="1"/>
  <c r="A12" i="4" l="1"/>
  <c r="B12" i="4" s="1"/>
  <c r="A7" i="4"/>
  <c r="B7" i="4" s="1"/>
  <c r="A8" i="4"/>
  <c r="B8" i="4" s="1"/>
  <c r="A6" i="4"/>
  <c r="B6" i="4" s="1"/>
  <c r="A159" i="4"/>
  <c r="B159" i="4" s="1"/>
  <c r="A158" i="4"/>
  <c r="B158" i="4" s="1"/>
  <c r="A157" i="4"/>
  <c r="B157" i="4" s="1"/>
  <c r="A156" i="4"/>
  <c r="B156" i="4" s="1"/>
  <c r="A155" i="4"/>
  <c r="B155" i="4" s="1"/>
  <c r="A154" i="4"/>
  <c r="B154" i="4" s="1"/>
  <c r="A153" i="4"/>
  <c r="B153" i="4" s="1"/>
  <c r="A152" i="4"/>
  <c r="B152" i="4" s="1"/>
  <c r="A151" i="4"/>
  <c r="B151" i="4" s="1"/>
  <c r="A150" i="4"/>
  <c r="B150" i="4" s="1"/>
  <c r="A149" i="4"/>
  <c r="B149" i="4" s="1"/>
  <c r="A148" i="4"/>
  <c r="B148" i="4" s="1"/>
  <c r="A147" i="4"/>
  <c r="B147" i="4" s="1"/>
  <c r="A146" i="4"/>
  <c r="B146" i="4" s="1"/>
  <c r="A145" i="4"/>
  <c r="B145" i="4" s="1"/>
  <c r="A144" i="4"/>
  <c r="B144" i="4" s="1"/>
  <c r="A143" i="4"/>
  <c r="B143" i="4" s="1"/>
  <c r="A142" i="4"/>
  <c r="B142" i="4" s="1"/>
  <c r="A141" i="4"/>
  <c r="B141" i="4" s="1"/>
  <c r="A140" i="4"/>
  <c r="B140" i="4" s="1"/>
  <c r="A139" i="4"/>
  <c r="B139" i="4" s="1"/>
  <c r="A138" i="4"/>
  <c r="B138" i="4" s="1"/>
  <c r="A137" i="4"/>
  <c r="B137" i="4" s="1"/>
  <c r="A136" i="4"/>
  <c r="B136" i="4" s="1"/>
  <c r="A135" i="4"/>
  <c r="B135" i="4" s="1"/>
  <c r="A134" i="4"/>
  <c r="B134" i="4" s="1"/>
  <c r="A133" i="4"/>
  <c r="B133" i="4" s="1"/>
  <c r="A132" i="4"/>
  <c r="B132" i="4" s="1"/>
  <c r="A131" i="4"/>
  <c r="B131" i="4" s="1"/>
  <c r="A130" i="4"/>
  <c r="B130" i="4" s="1"/>
  <c r="A129" i="4"/>
  <c r="B129" i="4" s="1"/>
  <c r="A128" i="4"/>
  <c r="B128" i="4" s="1"/>
  <c r="A127" i="4"/>
  <c r="B127" i="4" s="1"/>
  <c r="A126" i="4"/>
  <c r="B126" i="4" s="1"/>
  <c r="A125" i="4"/>
  <c r="B125" i="4" s="1"/>
  <c r="A124" i="4"/>
  <c r="B124" i="4" s="1"/>
  <c r="A123" i="4"/>
  <c r="B123" i="4" s="1"/>
  <c r="A122" i="4"/>
  <c r="B122" i="4" s="1"/>
  <c r="A121" i="4"/>
  <c r="B121" i="4" s="1"/>
  <c r="A120" i="4"/>
  <c r="B120" i="4" s="1"/>
  <c r="A119" i="4"/>
  <c r="B119" i="4" s="1"/>
  <c r="A118" i="4"/>
  <c r="B118" i="4" s="1"/>
  <c r="A117" i="4"/>
  <c r="B117" i="4" s="1"/>
  <c r="A116" i="4"/>
  <c r="B116" i="4" s="1"/>
  <c r="A115" i="4"/>
  <c r="B115" i="4" s="1"/>
  <c r="A114" i="4"/>
  <c r="B114" i="4" s="1"/>
  <c r="A113" i="4"/>
  <c r="B113" i="4" s="1"/>
  <c r="A112" i="4"/>
  <c r="B112" i="4" s="1"/>
  <c r="A111" i="4"/>
  <c r="B111" i="4" s="1"/>
  <c r="A110" i="4"/>
  <c r="B110" i="4" s="1"/>
  <c r="A109" i="4"/>
  <c r="B109" i="4" s="1"/>
  <c r="A108" i="4"/>
  <c r="B108" i="4" s="1"/>
  <c r="A107" i="4"/>
  <c r="B107" i="4" s="1"/>
  <c r="A106" i="4"/>
  <c r="B106" i="4" s="1"/>
  <c r="A105" i="4"/>
  <c r="B105" i="4" s="1"/>
  <c r="A104" i="4"/>
  <c r="B104" i="4" s="1"/>
  <c r="A103" i="4"/>
  <c r="B103" i="4" s="1"/>
  <c r="A102" i="4"/>
  <c r="B102" i="4" s="1"/>
  <c r="A101" i="4"/>
  <c r="B101" i="4" s="1"/>
  <c r="A100" i="4"/>
  <c r="B100" i="4" s="1"/>
  <c r="A99" i="4"/>
  <c r="B99" i="4" s="1"/>
  <c r="A98" i="4"/>
  <c r="B98" i="4" s="1"/>
  <c r="A97" i="4"/>
  <c r="B97" i="4" s="1"/>
  <c r="A96" i="4"/>
  <c r="B96" i="4" s="1"/>
  <c r="A95" i="4"/>
  <c r="B95" i="4" s="1"/>
  <c r="A94" i="4"/>
  <c r="B94" i="4" s="1"/>
  <c r="A93" i="4"/>
  <c r="B93" i="4" s="1"/>
  <c r="A92" i="4"/>
  <c r="B92" i="4" s="1"/>
  <c r="A91" i="4"/>
  <c r="B91" i="4" s="1"/>
  <c r="A90" i="4"/>
  <c r="B90" i="4" s="1"/>
  <c r="A89" i="4"/>
  <c r="B89" i="4" s="1"/>
  <c r="A88" i="4"/>
  <c r="B88" i="4" s="1"/>
  <c r="A87" i="4"/>
  <c r="B87" i="4" s="1"/>
  <c r="A86" i="4"/>
  <c r="B86" i="4" s="1"/>
  <c r="A85" i="4"/>
  <c r="B85" i="4" s="1"/>
  <c r="A84" i="4"/>
  <c r="B84" i="4" s="1"/>
  <c r="A83" i="4"/>
  <c r="B83" i="4" s="1"/>
  <c r="A82" i="4"/>
  <c r="B82" i="4" s="1"/>
  <c r="A81" i="4"/>
  <c r="B81" i="4" s="1"/>
  <c r="A80" i="4"/>
  <c r="B80" i="4" s="1"/>
  <c r="A79" i="4"/>
  <c r="B79" i="4" s="1"/>
  <c r="A78" i="4"/>
  <c r="B78" i="4" s="1"/>
  <c r="A77" i="4"/>
  <c r="B77" i="4" s="1"/>
  <c r="A76" i="4"/>
  <c r="B76" i="4" s="1"/>
  <c r="A75" i="4"/>
  <c r="B75" i="4" s="1"/>
  <c r="A74" i="4"/>
  <c r="B74" i="4" s="1"/>
  <c r="A73" i="4"/>
  <c r="B73" i="4" s="1"/>
  <c r="A72" i="4"/>
  <c r="B72" i="4" s="1"/>
  <c r="A71" i="4"/>
  <c r="B71" i="4" s="1"/>
  <c r="A70" i="4"/>
  <c r="B70" i="4" s="1"/>
  <c r="A18" i="4"/>
  <c r="B18" i="4" s="1"/>
  <c r="A17" i="4"/>
  <c r="B17" i="4" s="1"/>
  <c r="A13" i="4"/>
  <c r="B13" i="4" s="1"/>
  <c r="A5" i="4"/>
  <c r="B5" i="4" l="1"/>
  <c r="B7" i="5"/>
  <c r="B6" i="5"/>
  <c r="B3" i="5" l="1"/>
  <c r="B4" i="5"/>
  <c r="B10" i="5"/>
  <c r="B9" i="5" l="1"/>
  <c r="A9" i="5"/>
  <c r="A10" i="5" l="1"/>
  <c r="B17" i="5"/>
  <c r="B16" i="5"/>
  <c r="B14" i="5"/>
  <c r="B12" i="5"/>
  <c r="B13"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C2" authorId="0" shapeId="0" xr:uid="{00000000-0006-0000-0000-000001000000}">
      <text>
        <r>
          <rPr>
            <b/>
            <sz val="9"/>
            <color indexed="81"/>
            <rFont val="Segoe UI"/>
            <family val="2"/>
          </rPr>
          <t>Autor:</t>
        </r>
        <r>
          <rPr>
            <sz val="9"/>
            <color indexed="81"/>
            <rFont val="Segoe UI"/>
            <family val="2"/>
          </rPr>
          <t xml:space="preserve">
Safety primarily means protecting a person against harm. It includes also the subjective feeling of "being well protected". </t>
        </r>
      </text>
    </comment>
    <comment ref="E2" authorId="0" shapeId="0" xr:uid="{00000000-0006-0000-0000-000002000000}">
      <text>
        <r>
          <rPr>
            <b/>
            <sz val="9"/>
            <color indexed="81"/>
            <rFont val="Segoe UI"/>
            <family val="2"/>
          </rPr>
          <t>Autor:</t>
        </r>
        <r>
          <rPr>
            <sz val="9"/>
            <color indexed="81"/>
            <rFont val="Segoe UI"/>
            <family val="2"/>
          </rPr>
          <t xml:space="preserve">
Care is given and decisions and responsibility are taken on behalf of the other – the one in need – to the extent that that person is no longer able to do these things themselves.</t>
        </r>
      </text>
    </comment>
    <comment ref="G2" authorId="0" shapeId="0" xr:uid="{00000000-0006-0000-0000-000003000000}">
      <text>
        <r>
          <rPr>
            <b/>
            <sz val="9"/>
            <color indexed="81"/>
            <rFont val="Segoe UI"/>
            <family val="2"/>
          </rPr>
          <t>Autor:</t>
        </r>
        <r>
          <rPr>
            <sz val="9"/>
            <color indexed="81"/>
            <rFont val="Segoe UI"/>
            <family val="2"/>
          </rPr>
          <t xml:space="preserve">
The term autonomy […] is nowadays often equated with an individual’s maximum freedom of decision and action.</t>
        </r>
      </text>
    </comment>
    <comment ref="I2" authorId="0" shapeId="0" xr:uid="{00000000-0006-0000-0000-000004000000}">
      <text>
        <r>
          <rPr>
            <b/>
            <sz val="9"/>
            <color indexed="81"/>
            <rFont val="Segoe UI"/>
            <family val="2"/>
          </rPr>
          <t>Autor:</t>
        </r>
        <r>
          <rPr>
            <sz val="9"/>
            <color indexed="81"/>
            <rFont val="Segoe UI"/>
            <family val="2"/>
          </rPr>
          <t xml:space="preserve">
Participation […] means providing people with access, rights, services, and assets that enable them to live together with other people in society.</t>
        </r>
      </text>
    </comment>
    <comment ref="K2" authorId="0" shapeId="0" xr:uid="{00000000-0006-0000-0000-000005000000}">
      <text>
        <r>
          <rPr>
            <b/>
            <sz val="9"/>
            <color indexed="81"/>
            <rFont val="Segoe UI"/>
            <family val="2"/>
          </rPr>
          <t>Autor:</t>
        </r>
        <r>
          <rPr>
            <sz val="9"/>
            <color indexed="81"/>
            <rFont val="Segoe UI"/>
            <family val="2"/>
          </rPr>
          <t xml:space="preserve">
(1) Transparency: inform data subject about data use. 
(2) Purpose limitation / minimization: Store as few data as possible, and use it only for its dedicated purpose. 
(3) Integrity: prevent unauthorized access. 
(4) The right to be forgotten.</t>
        </r>
      </text>
    </comment>
    <comment ref="M2" authorId="0" shapeId="0" xr:uid="{00000000-0006-0000-0000-000006000000}">
      <text>
        <r>
          <rPr>
            <b/>
            <sz val="9"/>
            <color indexed="81"/>
            <rFont val="Segoe UI"/>
            <family val="2"/>
          </rPr>
          <t>Autor:</t>
        </r>
        <r>
          <rPr>
            <sz val="9"/>
            <color indexed="81"/>
            <rFont val="Segoe UI"/>
            <family val="2"/>
          </rPr>
          <t xml:space="preserve">
Fairness means that the same standards are applied to everyone, and that ressources are provided according to degree of neediness. </t>
        </r>
      </text>
    </comment>
    <comment ref="O2" authorId="0" shapeId="0" xr:uid="{00000000-0006-0000-0000-000007000000}">
      <text>
        <r>
          <rPr>
            <b/>
            <sz val="9"/>
            <color indexed="81"/>
            <rFont val="Segoe UI"/>
            <family val="2"/>
          </rPr>
          <t>Autor:</t>
        </r>
        <r>
          <rPr>
            <sz val="9"/>
            <color indexed="81"/>
            <rFont val="Segoe UI"/>
            <family val="2"/>
          </rPr>
          <t xml:space="preserve">
A persons' freedom to evaluate and perceive herself according to her own personal mental model. Strongly related is the perceived self-efficacy, the expectation to successfully carry out intended acts based on one's competences. </t>
        </r>
      </text>
    </comment>
    <comment ref="Q2" authorId="0" shapeId="0" xr:uid="{00000000-0006-0000-0000-000008000000}">
      <text>
        <r>
          <rPr>
            <b/>
            <sz val="9"/>
            <color indexed="81"/>
            <rFont val="Segoe UI"/>
            <family val="2"/>
          </rPr>
          <t>Autor:</t>
        </r>
        <r>
          <rPr>
            <sz val="9"/>
            <color indexed="81"/>
            <rFont val="Segoe UI"/>
            <family val="2"/>
          </rPr>
          <t xml:space="preserve">
Does the system save effort (time, money, responsibilities, …), or does it require additional resources for its operation (compared to a situation without the system)?</t>
        </r>
      </text>
    </comment>
    <comment ref="S2" authorId="0" shapeId="0" xr:uid="{00000000-0006-0000-0000-000009000000}">
      <text>
        <r>
          <rPr>
            <b/>
            <sz val="9"/>
            <color indexed="81"/>
            <rFont val="Segoe UI"/>
            <family val="2"/>
          </rPr>
          <t>Autor:</t>
        </r>
        <r>
          <rPr>
            <sz val="9"/>
            <color indexed="81"/>
            <rFont val="Segoe UI"/>
            <family val="2"/>
          </rPr>
          <t xml:space="preserve">
Profitability means an organisation's ability to fund its operations and strategic development out of its revenues. </t>
        </r>
      </text>
    </comment>
    <comment ref="U2" authorId="0" shapeId="0" xr:uid="{00000000-0006-0000-0000-00000A000000}">
      <text>
        <r>
          <rPr>
            <b/>
            <sz val="9"/>
            <color indexed="81"/>
            <rFont val="Segoe UI"/>
            <family val="2"/>
          </rPr>
          <t>Autor:</t>
        </r>
        <r>
          <rPr>
            <sz val="9"/>
            <color indexed="81"/>
            <rFont val="Segoe UI"/>
            <family val="2"/>
          </rPr>
          <t xml:space="preserve">
Opportunity describes an organisation's ability and position to drive innovation, expand its market share, improve customer loyalty, or pursue any other strategic goals.</t>
        </r>
      </text>
    </comment>
    <comment ref="A5" authorId="0" shapeId="0" xr:uid="{00000000-0006-0000-0000-00000B000000}">
      <text>
        <r>
          <rPr>
            <b/>
            <sz val="9"/>
            <color indexed="81"/>
            <rFont val="Segoe UI"/>
            <family val="2"/>
          </rPr>
          <t>Autor:</t>
        </r>
        <r>
          <rPr>
            <sz val="9"/>
            <color indexed="81"/>
            <rFont val="Segoe UI"/>
            <family val="2"/>
          </rPr>
          <t xml:space="preserve">
Employees in locations with an alert button. For instance, a nurse, a doctor's assistant, or shop assistant.
</t>
        </r>
      </text>
    </comment>
    <comment ref="A6" authorId="0" shapeId="0" xr:uid="{00000000-0006-0000-0000-00000C000000}">
      <text>
        <r>
          <rPr>
            <b/>
            <sz val="9"/>
            <color indexed="81"/>
            <rFont val="Segoe UI"/>
            <family val="2"/>
          </rPr>
          <t>Autor:</t>
        </r>
        <r>
          <rPr>
            <sz val="9"/>
            <color indexed="81"/>
            <rFont val="Segoe UI"/>
            <family val="2"/>
          </rPr>
          <t xml:space="preserve">
E.g. a medical practice, a café, or a bakery.</t>
        </r>
      </text>
    </comment>
    <comment ref="A9" authorId="0" shapeId="0" xr:uid="{00000000-0006-0000-0000-00000D000000}">
      <text>
        <r>
          <rPr>
            <b/>
            <sz val="9"/>
            <color indexed="81"/>
            <rFont val="Segoe UI"/>
            <family val="2"/>
          </rPr>
          <t>Autor:</t>
        </r>
        <r>
          <rPr>
            <sz val="9"/>
            <color indexed="81"/>
            <rFont val="Segoe UI"/>
            <family val="2"/>
          </rPr>
          <t xml:space="preserve">
(as an organisation required to operate in a profitable or at least cost-covering manner)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F2" authorId="0" shapeId="0" xr:uid="{00000000-0006-0000-0100-000001000000}">
      <text>
        <r>
          <rPr>
            <sz val="9"/>
            <color indexed="81"/>
            <rFont val="Segoe UI"/>
            <family val="2"/>
          </rPr>
          <t xml:space="preserve">Safety primarily means protecting a person against harm. It includes also the subjective feeling of "being well protected". </t>
        </r>
      </text>
    </comment>
    <comment ref="F3" authorId="0" shapeId="0" xr:uid="{00000000-0006-0000-0100-000002000000}">
      <text>
        <r>
          <rPr>
            <sz val="9"/>
            <color indexed="81"/>
            <rFont val="Segoe UI"/>
            <family val="2"/>
          </rPr>
          <t xml:space="preserve">Safety primarily means protecting a person against harm. It includes also the subjective feeling of "being well protected". </t>
        </r>
      </text>
    </comment>
    <comment ref="C4" authorId="0" shapeId="0" xr:uid="{00000000-0006-0000-0100-000003000000}">
      <text>
        <r>
          <rPr>
            <sz val="9"/>
            <color indexed="81"/>
            <rFont val="Segoe UI"/>
            <family val="2"/>
          </rPr>
          <t>Person suffering from dementia lives in in a nursing home</t>
        </r>
      </text>
    </comment>
    <comment ref="D4" authorId="0" shapeId="0" xr:uid="{00000000-0006-0000-0100-000004000000}">
      <text>
        <r>
          <rPr>
            <sz val="9"/>
            <color indexed="81"/>
            <rFont val="Segoe UI"/>
            <family val="2"/>
          </rPr>
          <t>ILA operates as part of a home emergency call service</t>
        </r>
      </text>
    </comment>
    <comment ref="F4" authorId="0" shapeId="0" xr:uid="{00000000-0006-0000-0100-000005000000}">
      <text>
        <r>
          <rPr>
            <sz val="9"/>
            <color indexed="81"/>
            <rFont val="Segoe UI"/>
            <family val="2"/>
          </rPr>
          <t>Care is given and decisions and responsibility are taken on behalf of the other – the one in need – to the extent that that person is no longer able to do these things themselves [...].</t>
        </r>
      </text>
    </comment>
    <comment ref="F5" authorId="0" shapeId="0" xr:uid="{00000000-0006-0000-0100-000006000000}">
      <text>
        <r>
          <rPr>
            <sz val="9"/>
            <color indexed="81"/>
            <rFont val="Segoe UI"/>
            <family val="2"/>
          </rPr>
          <t>The term autonomy […] is nowadays often equated with an individual’s maximum freedom of decision and action.</t>
        </r>
      </text>
    </comment>
    <comment ref="F6" authorId="0" shapeId="0" xr:uid="{00000000-0006-0000-0100-000007000000}">
      <text>
        <r>
          <rPr>
            <sz val="9"/>
            <color indexed="81"/>
            <rFont val="Segoe UI"/>
            <family val="2"/>
          </rPr>
          <t>The term autonomy […] is nowadays often equated with an individual’s maximum freedom of decision and action.</t>
        </r>
      </text>
    </comment>
    <comment ref="F7" authorId="0" shapeId="0" xr:uid="{00000000-0006-0000-0100-000008000000}">
      <text>
        <r>
          <rPr>
            <sz val="9"/>
            <color indexed="81"/>
            <rFont val="Segoe UI"/>
            <family val="2"/>
          </rPr>
          <t>Participation […] means providing people with access, rights, services, and assets that enable them to live together with other people in society.</t>
        </r>
      </text>
    </comment>
    <comment ref="F8" authorId="0" shapeId="0" xr:uid="{00000000-0006-0000-0100-000009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9" authorId="0" shapeId="0" xr:uid="{00000000-0006-0000-0100-00000A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0" authorId="0" shapeId="0" xr:uid="{00000000-0006-0000-0100-00000B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1" authorId="0" shapeId="0" xr:uid="{00000000-0006-0000-0100-00000C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2" authorId="0" shapeId="0" xr:uid="{00000000-0006-0000-0100-00000D000000}">
      <text>
        <r>
          <rPr>
            <sz val="9"/>
            <color indexed="81"/>
            <rFont val="Segoe UI"/>
            <family val="2"/>
          </rPr>
          <t>The term autonomy […] is nowadays often equated with an individual’s maximum freedom of decision and action.</t>
        </r>
      </text>
    </comment>
    <comment ref="F13" authorId="0" shapeId="0" xr:uid="{00000000-0006-0000-0100-00000E000000}">
      <text>
        <r>
          <rPr>
            <sz val="9"/>
            <color indexed="81"/>
            <rFont val="Segoe UI"/>
            <family val="2"/>
          </rPr>
          <t>The term autonomy […] is nowadays often equated with an individual’s maximum freedom of decision and action.</t>
        </r>
      </text>
    </comment>
    <comment ref="F14" authorId="0" shapeId="0" xr:uid="{00000000-0006-0000-0100-00000F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5" authorId="0" shapeId="0" xr:uid="{00000000-0006-0000-0100-000010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16" authorId="0" shapeId="0" xr:uid="{00000000-0006-0000-0100-000011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17" authorId="0" shapeId="0" xr:uid="{00000000-0006-0000-0100-000012000000}">
      <text>
        <r>
          <rPr>
            <sz val="9"/>
            <color indexed="81"/>
            <rFont val="Segoe UI"/>
            <family val="2"/>
          </rPr>
          <t>Several contact persons, not all living nearby, not all frequently available</t>
        </r>
      </text>
    </comment>
    <comment ref="F17" authorId="0" shapeId="0" xr:uid="{00000000-0006-0000-0100-000013000000}">
      <text>
        <r>
          <rPr>
            <sz val="9"/>
            <color indexed="81"/>
            <rFont val="Segoe UI"/>
            <family val="2"/>
          </rPr>
          <t xml:space="preserve">Fairness means that the same standards are applied to everyone, and that ressources are provided according to degree of neediness. </t>
        </r>
      </text>
    </comment>
    <comment ref="F18" authorId="0" shapeId="0" xr:uid="{00000000-0006-0000-0100-000014000000}">
      <text>
        <r>
          <rPr>
            <sz val="9"/>
            <color indexed="81"/>
            <rFont val="Segoe UI"/>
            <family val="2"/>
          </rPr>
          <t>Does the system save effort (time, money, responsibilities, …), or does it require additional resources for its operation (compared to a situation without the system)?</t>
        </r>
      </text>
    </comment>
    <comment ref="F19" authorId="0" shapeId="0" xr:uid="{00000000-0006-0000-0100-000015000000}">
      <text>
        <r>
          <rPr>
            <sz val="9"/>
            <color indexed="81"/>
            <rFont val="Segoe UI"/>
            <family val="2"/>
          </rPr>
          <t>Does the system save effort (time, money, responsibilities, …), or does it require additional resources for its operation (compared to a situation without the system)?</t>
        </r>
      </text>
    </comment>
    <comment ref="F20" authorId="0" shapeId="0" xr:uid="{00000000-0006-0000-0100-000016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21" authorId="0" shapeId="0" xr:uid="{00000000-0006-0000-0100-000017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22" authorId="0" shapeId="0" xr:uid="{00000000-0006-0000-0100-000018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3" authorId="0" shapeId="0" xr:uid="{00000000-0006-0000-0100-000019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4" authorId="0" shapeId="0" xr:uid="{00000000-0006-0000-0100-00001A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5" authorId="0" shapeId="0" xr:uid="{00000000-0006-0000-0100-00001B000000}">
      <text>
        <r>
          <rPr>
            <sz val="9"/>
            <color indexed="81"/>
            <rFont val="Segoe UI"/>
            <family val="2"/>
          </rPr>
          <t>Does the system save effort (time, money, responsibilities, …), or does it require additional resources for its operation (compared to a situation without the system)?</t>
        </r>
      </text>
    </comment>
    <comment ref="F26" authorId="0" shapeId="0" xr:uid="{00000000-0006-0000-0100-00001C000000}">
      <text>
        <r>
          <rPr>
            <sz val="9"/>
            <color indexed="81"/>
            <rFont val="Segoe UI"/>
            <family val="2"/>
          </rPr>
          <t>Does the system save effort (time, money, responsibilities, …), or does it require additional resources for its operation (compared to a situation without the system)?</t>
        </r>
      </text>
    </comment>
    <comment ref="F27" authorId="0" shapeId="0" xr:uid="{00000000-0006-0000-0100-00001D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8" authorId="0" shapeId="0" xr:uid="{00000000-0006-0000-0100-00001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29" authorId="0" shapeId="0" xr:uid="{00000000-0006-0000-0100-00001F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30" authorId="0" shapeId="0" xr:uid="{00000000-0006-0000-0100-000020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F31" authorId="0" shapeId="0" xr:uid="{00000000-0006-0000-0100-000021000000}">
      <text>
        <r>
          <rPr>
            <sz val="9"/>
            <color indexed="81"/>
            <rFont val="Segoe UI"/>
            <family val="2"/>
          </rPr>
          <t>Does the system save effort (time, money, responsibilities, …), or does it require additional resources for its operation (compared to a situation without the system)?</t>
        </r>
      </text>
    </comment>
    <comment ref="F32" authorId="0" shapeId="0" xr:uid="{00000000-0006-0000-0100-000022000000}">
      <text>
        <r>
          <rPr>
            <sz val="9"/>
            <color indexed="81"/>
            <rFont val="Segoe UI"/>
            <family val="2"/>
          </rPr>
          <t xml:space="preserve">Profitability means an organisation's ability to fund its operations and strategic development out of its revenues. </t>
        </r>
      </text>
    </comment>
    <comment ref="F33" authorId="0" shapeId="0" xr:uid="{00000000-0006-0000-0100-000023000000}">
      <text>
        <r>
          <rPr>
            <sz val="9"/>
            <color indexed="81"/>
            <rFont val="Segoe UI"/>
            <family val="2"/>
          </rPr>
          <t xml:space="preserve">Profitability means an organisation's ability to fund its operations and strategic development out of its revenues. </t>
        </r>
      </text>
    </comment>
    <comment ref="F34" authorId="0" shapeId="0" xr:uid="{00000000-0006-0000-0100-000024000000}">
      <text>
        <r>
          <rPr>
            <sz val="9"/>
            <color indexed="81"/>
            <rFont val="Segoe UI"/>
            <family val="2"/>
          </rPr>
          <t xml:space="preserve">Profitability means an organisation's ability to fund its operations and strategic development out of its revenues. </t>
        </r>
      </text>
    </comment>
    <comment ref="C35" authorId="0" shapeId="0" xr:uid="{00000000-0006-0000-0100-000025000000}">
      <text>
        <r>
          <rPr>
            <sz val="9"/>
            <color indexed="81"/>
            <rFont val="Segoe UI"/>
            <family val="2"/>
          </rPr>
          <t>Person suffering from dementia lives in in a nursing home</t>
        </r>
      </text>
    </comment>
    <comment ref="F35" authorId="0" shapeId="0" xr:uid="{00000000-0006-0000-0100-000026000000}">
      <text>
        <r>
          <rPr>
            <sz val="9"/>
            <color indexed="81"/>
            <rFont val="Segoe UI"/>
            <family val="2"/>
          </rPr>
          <t>Does the system save effort (time, money, responsibilities, …), or does it require additional resources for its operation (compared to a situation without the system)?</t>
        </r>
      </text>
    </comment>
    <comment ref="C36" authorId="0" shapeId="0" xr:uid="{00000000-0006-0000-0100-000027000000}">
      <text>
        <r>
          <rPr>
            <sz val="9"/>
            <color indexed="81"/>
            <rFont val="Segoe UI"/>
            <family val="2"/>
          </rPr>
          <t>Person suffering from dementia lives in in a nursing home</t>
        </r>
      </text>
    </comment>
    <comment ref="F36" authorId="0" shapeId="0" xr:uid="{00000000-0006-0000-0100-000028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37" authorId="0" shapeId="0" xr:uid="{00000000-0006-0000-0100-000029000000}">
      <text>
        <r>
          <rPr>
            <sz val="9"/>
            <color indexed="81"/>
            <rFont val="Segoe UI"/>
            <family val="2"/>
          </rPr>
          <t>Person suffering from dementia lives in in a nursing home</t>
        </r>
      </text>
    </comment>
    <comment ref="D37" authorId="0" shapeId="0" xr:uid="{00000000-0006-0000-0100-00002A000000}">
      <text>
        <r>
          <rPr>
            <sz val="9"/>
            <color indexed="81"/>
            <rFont val="Segoe UI"/>
            <family val="2"/>
          </rPr>
          <t>ILA is run as a stand-alone platform, offered as a nursing home service and administed by the nursing home</t>
        </r>
      </text>
    </comment>
    <comment ref="F37" authorId="0" shapeId="0" xr:uid="{00000000-0006-0000-0100-00002B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38" authorId="0" shapeId="0" xr:uid="{00000000-0006-0000-0100-00002C000000}">
      <text>
        <r>
          <rPr>
            <sz val="9"/>
            <color indexed="81"/>
            <rFont val="Segoe UI"/>
            <family val="2"/>
          </rPr>
          <t>Person suffering from dementia lives in in a nursing home</t>
        </r>
      </text>
    </comment>
    <comment ref="D38" authorId="0" shapeId="0" xr:uid="{00000000-0006-0000-0100-00002D000000}">
      <text>
        <r>
          <rPr>
            <sz val="9"/>
            <color indexed="81"/>
            <rFont val="Segoe UI"/>
            <family val="2"/>
          </rPr>
          <t>ILA is run as a stand-alone platform, offered as a nursing home service and administed by the nursing home</t>
        </r>
      </text>
    </comment>
    <comment ref="F38" authorId="0" shapeId="0" xr:uid="{00000000-0006-0000-0100-00002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39" authorId="0" shapeId="0" xr:uid="{00000000-0006-0000-0100-00002F000000}">
      <text>
        <r>
          <rPr>
            <sz val="9"/>
            <color indexed="81"/>
            <rFont val="Segoe UI"/>
            <family val="2"/>
          </rPr>
          <t>Person suffering from dementia lives in in a nursing home</t>
        </r>
      </text>
    </comment>
    <comment ref="D39" authorId="0" shapeId="0" xr:uid="{00000000-0006-0000-0100-000030000000}">
      <text>
        <r>
          <rPr>
            <sz val="9"/>
            <color indexed="81"/>
            <rFont val="Segoe UI"/>
            <family val="2"/>
          </rPr>
          <t>ILA is run as a stand-alone platform, offered as a nursing home service and administed by the nursing home</t>
        </r>
      </text>
    </comment>
    <comment ref="F39" authorId="0" shapeId="0" xr:uid="{00000000-0006-0000-0100-000031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0" authorId="0" shapeId="0" xr:uid="{00000000-0006-0000-0100-000032000000}">
      <text>
        <r>
          <rPr>
            <sz val="9"/>
            <color indexed="81"/>
            <rFont val="Segoe UI"/>
            <family val="2"/>
          </rPr>
          <t>Person suffering from dementia lives in in a nursing home</t>
        </r>
      </text>
    </comment>
    <comment ref="F40" authorId="0" shapeId="0" xr:uid="{00000000-0006-0000-0100-000033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41" authorId="0" shapeId="0" xr:uid="{00000000-0006-0000-0100-000034000000}">
      <text>
        <r>
          <rPr>
            <sz val="9"/>
            <color indexed="81"/>
            <rFont val="Segoe UI"/>
            <family val="2"/>
          </rPr>
          <t>Person suffering from dementia lives in in a nursing home</t>
        </r>
      </text>
    </comment>
    <comment ref="F41" authorId="0" shapeId="0" xr:uid="{00000000-0006-0000-0100-000035000000}">
      <text>
        <r>
          <rPr>
            <sz val="9"/>
            <color indexed="81"/>
            <rFont val="Segoe UI"/>
            <family val="2"/>
          </rPr>
          <t>Does the system save effort (time, money, responsibilities, …), or does it require additional resources for its operation (compared to a situation without the system)?</t>
        </r>
      </text>
    </comment>
    <comment ref="C42" authorId="0" shapeId="0" xr:uid="{00000000-0006-0000-0100-000036000000}">
      <text>
        <r>
          <rPr>
            <sz val="9"/>
            <color indexed="81"/>
            <rFont val="Segoe UI"/>
            <family val="2"/>
          </rPr>
          <t>Person suffering from dementia lives in in a nursing home</t>
        </r>
      </text>
    </comment>
    <comment ref="D42" authorId="0" shapeId="0" xr:uid="{00000000-0006-0000-0100-000037000000}">
      <text>
        <r>
          <rPr>
            <sz val="9"/>
            <color indexed="81"/>
            <rFont val="Segoe UI"/>
            <family val="2"/>
          </rPr>
          <t>ILA is run as a stand-alone platform, offered as a nursing home service and administed by the nursing home</t>
        </r>
      </text>
    </comment>
    <comment ref="F42" authorId="0" shapeId="0" xr:uid="{00000000-0006-0000-0100-000038000000}">
      <text>
        <r>
          <rPr>
            <sz val="9"/>
            <color indexed="81"/>
            <rFont val="Segoe UI"/>
            <family val="2"/>
          </rPr>
          <t>Does the system save effort (time, money, responsibilities, …), or does it require additional resources for its operation (compared to a situation without the system)?</t>
        </r>
      </text>
    </comment>
    <comment ref="C43" authorId="0" shapeId="0" xr:uid="{00000000-0006-0000-0100-000039000000}">
      <text>
        <r>
          <rPr>
            <sz val="9"/>
            <color indexed="81"/>
            <rFont val="Segoe UI"/>
            <family val="2"/>
          </rPr>
          <t>Person suffering from dementia lives in in a nursing home</t>
        </r>
      </text>
    </comment>
    <comment ref="D43" authorId="0" shapeId="0" xr:uid="{00000000-0006-0000-0100-00003A000000}">
      <text>
        <r>
          <rPr>
            <sz val="9"/>
            <color indexed="81"/>
            <rFont val="Segoe UI"/>
            <family val="2"/>
          </rPr>
          <t>ILA is run as a stand-alone platform, offered as a nursing home service and administed by the nursing home</t>
        </r>
      </text>
    </comment>
    <comment ref="F43" authorId="0" shapeId="0" xr:uid="{00000000-0006-0000-0100-00003B000000}">
      <text>
        <r>
          <rPr>
            <sz val="9"/>
            <color indexed="81"/>
            <rFont val="Segoe UI"/>
            <family val="2"/>
          </rPr>
          <t>Does the system save effort (time, money, responsibilities, …), or does it require additional resources for its operation (compared to a situation without the system)?</t>
        </r>
      </text>
    </comment>
    <comment ref="C44" authorId="0" shapeId="0" xr:uid="{00000000-0006-0000-0100-00003C000000}">
      <text>
        <r>
          <rPr>
            <sz val="9"/>
            <color indexed="81"/>
            <rFont val="Segoe UI"/>
            <family val="2"/>
          </rPr>
          <t>Person suffering from dementia lives in in a nursing home</t>
        </r>
      </text>
    </comment>
    <comment ref="D44" authorId="0" shapeId="0" xr:uid="{00000000-0006-0000-0100-00003D000000}">
      <text>
        <r>
          <rPr>
            <sz val="9"/>
            <color indexed="81"/>
            <rFont val="Segoe UI"/>
            <family val="2"/>
          </rPr>
          <t>ILA is run as a stand-alone platform, offered as a nursing home service and administed by the nursing home</t>
        </r>
      </text>
    </comment>
    <comment ref="F44" authorId="0" shapeId="0" xr:uid="{00000000-0006-0000-0100-00003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45" authorId="0" shapeId="0" xr:uid="{00000000-0006-0000-0100-00003F000000}">
      <text>
        <r>
          <rPr>
            <sz val="9"/>
            <color indexed="81"/>
            <rFont val="Segoe UI"/>
            <family val="2"/>
          </rPr>
          <t>ILA is paid for by the health insurance</t>
        </r>
      </text>
    </comment>
    <comment ref="F45" authorId="0" shapeId="0" xr:uid="{00000000-0006-0000-0100-000040000000}">
      <text>
        <r>
          <rPr>
            <sz val="9"/>
            <color indexed="81"/>
            <rFont val="Segoe UI"/>
            <family val="2"/>
          </rPr>
          <t xml:space="preserve">Fairness means that the same standards are applied to everyone, and that ressources are provided according to degree of neediness. </t>
        </r>
      </text>
    </comment>
    <comment ref="C46" authorId="0" shapeId="0" xr:uid="{00000000-0006-0000-0100-000041000000}">
      <text>
        <r>
          <rPr>
            <sz val="9"/>
            <color indexed="81"/>
            <rFont val="Segoe UI"/>
            <family val="2"/>
          </rPr>
          <t>ILA is paid for by the health insurance</t>
        </r>
      </text>
    </comment>
    <comment ref="F46" authorId="0" shapeId="0" xr:uid="{00000000-0006-0000-0100-000042000000}">
      <text>
        <r>
          <rPr>
            <sz val="9"/>
            <color indexed="81"/>
            <rFont val="Segoe UI"/>
            <family val="2"/>
          </rPr>
          <t xml:space="preserve">A persons' freedom to evaluate and perceive herself according to her own personal mental model. Strongly related is the perceived self-efficacy, the expectation to successfully carry out intended acts based on one's competences. </t>
        </r>
      </text>
    </comment>
    <comment ref="C47" authorId="0" shapeId="0" xr:uid="{00000000-0006-0000-0100-000043000000}">
      <text>
        <r>
          <rPr>
            <sz val="9"/>
            <color indexed="81"/>
            <rFont val="Segoe UI"/>
            <family val="2"/>
          </rPr>
          <t>ILA is paid for by the health insurance</t>
        </r>
      </text>
    </comment>
    <comment ref="F47" authorId="0" shapeId="0" xr:uid="{00000000-0006-0000-0100-000044000000}">
      <text>
        <r>
          <rPr>
            <sz val="9"/>
            <color indexed="81"/>
            <rFont val="Segoe UI"/>
            <family val="2"/>
          </rPr>
          <t>Does the system save effort (time, money, responsibilities, …), or does it require additional resources for its operation (compared to a situation without the system)?</t>
        </r>
      </text>
    </comment>
    <comment ref="F48" authorId="0" shapeId="0" xr:uid="{00000000-0006-0000-0100-000045000000}">
      <text>
        <r>
          <rPr>
            <sz val="9"/>
            <color indexed="81"/>
            <rFont val="Segoe UI"/>
            <family val="2"/>
          </rPr>
          <t xml:space="preserve">Profitability means an organisation's ability to fund its operations and strategic development out of its revenues. </t>
        </r>
      </text>
    </comment>
    <comment ref="C49" authorId="0" shapeId="0" xr:uid="{00000000-0006-0000-0100-000046000000}">
      <text>
        <r>
          <rPr>
            <sz val="9"/>
            <color indexed="81"/>
            <rFont val="Segoe UI"/>
            <family val="2"/>
          </rPr>
          <t>ILA is paid for by the health insurance</t>
        </r>
      </text>
    </comment>
    <comment ref="F49" authorId="0" shapeId="0" xr:uid="{00000000-0006-0000-0100-000047000000}">
      <text>
        <r>
          <rPr>
            <sz val="9"/>
            <color indexed="81"/>
            <rFont val="Segoe UI"/>
            <family val="2"/>
          </rPr>
          <t>Opportunity describes an organisation's ability and position to drive innovation, expand its market share, improve customer loyalty, or pursue any other strategic goals.</t>
        </r>
      </text>
    </comment>
    <comment ref="C50" authorId="0" shapeId="0" xr:uid="{00000000-0006-0000-0100-000048000000}">
      <text>
        <r>
          <rPr>
            <sz val="9"/>
            <color indexed="81"/>
            <rFont val="Segoe UI"/>
            <family val="2"/>
          </rPr>
          <t>ILA is paid for by the health insurance</t>
        </r>
      </text>
    </comment>
    <comment ref="F50" authorId="0" shapeId="0" xr:uid="{00000000-0006-0000-0100-000049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51" authorId="0" shapeId="0" xr:uid="{00000000-0006-0000-0100-00004A000000}">
      <text>
        <r>
          <rPr>
            <sz val="9"/>
            <color indexed="81"/>
            <rFont val="Segoe UI"/>
            <family val="2"/>
          </rPr>
          <t>Does the system save effort (time, money, responsibilities, …), or does it require additional resources for its operation (compared to a situation without the system)?</t>
        </r>
      </text>
    </comment>
    <comment ref="F52" authorId="0" shapeId="0" xr:uid="{00000000-0006-0000-0100-00004B000000}">
      <text>
        <r>
          <rPr>
            <sz val="9"/>
            <color indexed="81"/>
            <rFont val="Segoe UI"/>
            <family val="2"/>
          </rPr>
          <t xml:space="preserve">Profitability means an organisation's ability to fund its operations and strategic development out of its revenues. </t>
        </r>
      </text>
    </comment>
    <comment ref="C53" authorId="0" shapeId="0" xr:uid="{00000000-0006-0000-0100-00004C000000}">
      <text>
        <r>
          <rPr>
            <sz val="9"/>
            <color indexed="81"/>
            <rFont val="Segoe UI"/>
            <family val="2"/>
          </rPr>
          <t>ILA operates as part of a home emergency call service</t>
        </r>
      </text>
    </comment>
    <comment ref="F53" authorId="0" shapeId="0" xr:uid="{00000000-0006-0000-0100-00004D000000}">
      <text>
        <r>
          <rPr>
            <sz val="9"/>
            <color indexed="81"/>
            <rFont val="Segoe UI"/>
            <family val="2"/>
          </rPr>
          <t xml:space="preserve">Profitability means an organisation's ability to fund its operations and strategic development out of its revenues. </t>
        </r>
      </text>
    </comment>
    <comment ref="F54" authorId="0" shapeId="0" xr:uid="{00000000-0006-0000-0100-00004E000000}">
      <text>
        <r>
          <rPr>
            <sz val="9"/>
            <color indexed="81"/>
            <rFont val="Segoe UI"/>
            <family val="2"/>
          </rPr>
          <t>Opportunity describes an organisation's ability and position to drive innovation, expand its market share, improve customer loyalty, or pursue any other strategic goals.</t>
        </r>
      </text>
    </comment>
    <comment ref="F55" authorId="0" shapeId="0" xr:uid="{00000000-0006-0000-0100-00004F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C56" authorId="0" shapeId="0" xr:uid="{00000000-0006-0000-0100-000050000000}">
      <text>
        <r>
          <rPr>
            <sz val="9"/>
            <color indexed="81"/>
            <rFont val="Segoe UI"/>
            <family val="2"/>
          </rPr>
          <t>ILA operates as part of a home emergency call service</t>
        </r>
      </text>
    </comment>
    <comment ref="F56" authorId="0" shapeId="0" xr:uid="{00000000-0006-0000-0100-000051000000}">
      <text>
        <r>
          <rPr>
            <sz val="9"/>
            <color indexed="81"/>
            <rFont val="Segoe UI"/>
            <family val="2"/>
          </rPr>
          <t>Does the system save effort (time, money, responsibilities, …), or does it require additional resources for its operation (compared to a situation without the system)?</t>
        </r>
      </text>
    </comment>
    <comment ref="C57" authorId="0" shapeId="0" xr:uid="{00000000-0006-0000-0100-000052000000}">
      <text>
        <r>
          <rPr>
            <sz val="9"/>
            <color indexed="81"/>
            <rFont val="Segoe UI"/>
            <family val="2"/>
          </rPr>
          <t>ILA operates as part of a home emergency call service</t>
        </r>
      </text>
    </comment>
    <comment ref="F57" authorId="0" shapeId="0" xr:uid="{00000000-0006-0000-0100-000053000000}">
      <text>
        <r>
          <rPr>
            <sz val="9"/>
            <color indexed="81"/>
            <rFont val="Segoe UI"/>
            <family val="2"/>
          </rPr>
          <t>Does the system save effort (time, money, responsibilities, …), or does it require additional resources for its operation (compared to a situation without the system)?</t>
        </r>
      </text>
    </comment>
    <comment ref="C58" authorId="0" shapeId="0" xr:uid="{00000000-0006-0000-0100-000054000000}">
      <text>
        <r>
          <rPr>
            <sz val="9"/>
            <color indexed="81"/>
            <rFont val="Segoe UI"/>
            <family val="2"/>
          </rPr>
          <t>ILA operates as part of a home emergency call service</t>
        </r>
      </text>
    </comment>
    <comment ref="F58" authorId="0" shapeId="0" xr:uid="{00000000-0006-0000-0100-000055000000}">
      <text>
        <r>
          <rPr>
            <sz val="9"/>
            <color indexed="81"/>
            <rFont val="Segoe UI"/>
            <family val="2"/>
          </rPr>
          <t xml:space="preserve">Profitability means an organisation's ability to fund its operations and strategic development out of its revenues. </t>
        </r>
      </text>
    </comment>
    <comment ref="C59" authorId="0" shapeId="0" xr:uid="{00000000-0006-0000-0100-000056000000}">
      <text>
        <r>
          <rPr>
            <sz val="9"/>
            <color indexed="81"/>
            <rFont val="Segoe UI"/>
            <family val="2"/>
          </rPr>
          <t>ILA operates as part of a home emergency call service</t>
        </r>
      </text>
    </comment>
    <comment ref="F59" authorId="0" shapeId="0" xr:uid="{00000000-0006-0000-0100-000057000000}">
      <text>
        <r>
          <rPr>
            <sz val="9"/>
            <color indexed="81"/>
            <rFont val="Segoe UI"/>
            <family val="2"/>
          </rPr>
          <t xml:space="preserve">Profitability means an organisation's ability to fund its operations and strategic development out of its revenues. </t>
        </r>
      </text>
    </comment>
    <comment ref="C60" authorId="0" shapeId="0" xr:uid="{00000000-0006-0000-0100-000058000000}">
      <text>
        <r>
          <rPr>
            <sz val="9"/>
            <color indexed="81"/>
            <rFont val="Segoe UI"/>
            <family val="2"/>
          </rPr>
          <t>ILA operates as part of a home emergency call service</t>
        </r>
      </text>
    </comment>
    <comment ref="F60" authorId="0" shapeId="0" xr:uid="{00000000-0006-0000-0100-000059000000}">
      <text>
        <r>
          <rPr>
            <sz val="9"/>
            <color indexed="81"/>
            <rFont val="Segoe UI"/>
            <family val="2"/>
          </rPr>
          <t>Opportunity describes an organisation's ability and position to drive innovation, expand its market share, improve customer loyalty, or pursue any other strategic goals.</t>
        </r>
      </text>
    </comment>
    <comment ref="C61" authorId="0" shapeId="0" xr:uid="{00000000-0006-0000-0100-00005A000000}">
      <text>
        <r>
          <rPr>
            <sz val="9"/>
            <color indexed="81"/>
            <rFont val="Segoe UI"/>
            <family val="2"/>
          </rPr>
          <t>ILA operates as part of a home emergency call service</t>
        </r>
      </text>
    </comment>
    <comment ref="F61" authorId="0" shapeId="0" xr:uid="{00000000-0006-0000-0100-00005B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62" authorId="0" shapeId="0" xr:uid="{00000000-0006-0000-0100-00005C000000}">
      <text>
        <r>
          <rPr>
            <sz val="9"/>
            <color indexed="81"/>
            <rFont val="Segoe UI"/>
            <family val="2"/>
          </rPr>
          <t>The term autonomy […] is nowadays often equated with an individual’s maximum freedom of decision and action.</t>
        </r>
      </text>
    </comment>
    <comment ref="F63" authorId="0" shapeId="0" xr:uid="{00000000-0006-0000-0100-00005D000000}">
      <text>
        <r>
          <rPr>
            <sz val="9"/>
            <color indexed="81"/>
            <rFont val="Segoe UI"/>
            <family val="2"/>
          </rPr>
          <t>Participation […] means providing people with access, rights, services, and assets that enable them to live together with other people in society.</t>
        </r>
      </text>
    </comment>
    <comment ref="F64" authorId="0" shapeId="0" xr:uid="{00000000-0006-0000-0100-00005E000000}">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F65" authorId="0" shapeId="0" xr:uid="{EF27EA75-65B0-4DBC-BD46-ADCDA7701A27}">
      <text>
        <r>
          <rPr>
            <sz val="9"/>
            <color indexed="81"/>
            <rFont val="Segoe UI"/>
            <family val="2"/>
          </rPr>
          <t xml:space="preserve">Safety primarily means protecting a person against harm. It includes also the subjective feeling of "being well protected". </t>
        </r>
      </text>
    </comment>
    <comment ref="F66" authorId="0" shapeId="0" xr:uid="{4296EACF-2439-46C5-8915-5B024B635A75}">
      <text>
        <r>
          <rPr>
            <sz val="9"/>
            <color indexed="81"/>
            <rFont val="Segoe UI"/>
            <family val="2"/>
          </rPr>
          <t>Care is given and decisions and responsibility are taken on behalf of the other – the one in need – to the extent that that person is no longer able to do these things themselves [...].</t>
        </r>
      </text>
    </comment>
    <comment ref="F67" authorId="0" shapeId="0" xr:uid="{DCCBCFAF-3283-4BC0-A206-DA086BEA2559}">
      <text>
        <r>
          <rPr>
            <sz val="9"/>
            <color indexed="81"/>
            <rFont val="Segoe UI"/>
            <family val="2"/>
          </rPr>
          <t xml:space="preserve">Safety primarily means protecting a person against harm. It includes also the subjective feeling of "being well protected". </t>
        </r>
      </text>
    </comment>
    <comment ref="F68" authorId="0" shapeId="0" xr:uid="{C1B61696-86CE-4EC6-AA9F-DCC1BCE79CB2}">
      <text>
        <r>
          <rPr>
            <sz val="9"/>
            <color indexed="81"/>
            <rFont val="Segoe UI"/>
            <family val="2"/>
          </rPr>
          <t>Does the system save effort (time, money, responsibilities, …), or does it require additional resources for its operation (compared to a situation without the system)?</t>
        </r>
      </text>
    </comment>
    <comment ref="F69" authorId="0" shapeId="0" xr:uid="{FD9086CA-ECDB-4A38-83D2-F81B90AE0956}">
      <text>
        <r>
          <rPr>
            <sz val="9"/>
            <color indexed="81"/>
            <rFont val="Segoe UI"/>
            <family val="2"/>
          </rPr>
          <t>The term autonomy […] is nowadays often equated with an individual’s maximum freedom of decision and action.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D6" authorId="0" shapeId="0" xr:uid="{6EEFCCAB-59F3-40DD-8050-E12052E8B0CA}">
      <text>
        <r>
          <rPr>
            <sz val="9"/>
            <color indexed="81"/>
            <rFont val="Segoe UI"/>
            <family val="2"/>
          </rPr>
          <t xml:space="preserve">Society - Autonomy:_x000D_
ILA has the potential to generelly improve autonomy of persons suffering from dementia, if rolled out on a broad scale. </t>
        </r>
      </text>
    </comment>
    <comment ref="E6" authorId="0" shapeId="0" xr:uid="{6B57D9D5-6C4E-44B2-A2D8-B8C3041A9616}">
      <text>
        <r>
          <rPr>
            <sz val="9"/>
            <color indexed="81"/>
            <rFont val="Segoe UI"/>
            <family val="2"/>
          </rPr>
          <t xml:space="preserve">Society - Participation:_x000D_
ILA has the potential to generelly improve particicaption of persons suffering from dementia, if rolled out on a broad scale. </t>
        </r>
      </text>
    </comment>
    <comment ref="F6" authorId="0" shapeId="0" xr:uid="{8C46A966-7A96-42FC-9699-453557A4327B}">
      <text>
        <r>
          <rPr>
            <sz val="9"/>
            <color indexed="81"/>
            <rFont val="Segoe UI"/>
            <family val="2"/>
          </rPr>
          <t>Society - Privacy:_x000D_
If poorly implemented, ILA might contribute to a general loss of privacy by technical support solutions.</t>
        </r>
      </text>
    </comment>
    <comment ref="C8" authorId="0" shapeId="0" xr:uid="{00000000-0006-0000-0200-000003000000}">
      <text>
        <r>
          <rPr>
            <sz val="9"/>
            <color indexed="81"/>
            <rFont val="Segoe UI"/>
            <family val="2"/>
          </rPr>
          <t>Several contact persons, not all living nearby, not all frequently available</t>
        </r>
      </text>
    </comment>
    <comment ref="C9" authorId="0" shapeId="0" xr:uid="{00000000-0006-0000-0200-000004000000}">
      <text>
        <r>
          <rPr>
            <sz val="9"/>
            <color indexed="81"/>
            <rFont val="Segoe UI"/>
            <family val="2"/>
          </rPr>
          <t>ILA operates as part of a home emergency call service</t>
        </r>
      </text>
    </comment>
    <comment ref="D9" authorId="0" shapeId="0" xr:uid="{F476FD77-DF32-4223-96C8-A3CFAF8BA5EE}">
      <text>
        <r>
          <rPr>
            <sz val="9"/>
            <color indexed="81"/>
            <rFont val="Segoe UI"/>
            <family val="2"/>
          </rPr>
          <t>This measure fully realizes a minor goal.</t>
        </r>
      </text>
    </comment>
    <comment ref="E9" authorId="0" shapeId="0" xr:uid="{DDD6339F-510C-477A-9E52-1ED67A4B9420}">
      <text>
        <r>
          <rPr>
            <sz val="9"/>
            <color indexed="81"/>
            <rFont val="Segoe UI"/>
            <family val="2"/>
          </rPr>
          <t>This measure fully realizes a minor goal.</t>
        </r>
      </text>
    </comment>
    <comment ref="C10" authorId="0" shapeId="0" xr:uid="{DD2FAA5D-CD79-46B4-8B77-8C635B16AF0A}">
      <text>
        <r>
          <rPr>
            <sz val="9"/>
            <color indexed="81"/>
            <rFont val="Segoe UI"/>
            <family val="2"/>
          </rPr>
          <t>Person suffering from dementia lives in in a nursing home</t>
        </r>
      </text>
    </comment>
    <comment ref="F11" authorId="0" shapeId="0" xr:uid="{8080729E-F15C-423B-B7A7-E2A467CFD162}">
      <text>
        <r>
          <rPr>
            <sz val="9"/>
            <color indexed="81"/>
            <rFont val="Segoe UI"/>
            <family val="2"/>
          </rPr>
          <t>This measure fully solves a minor risk.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300-000001000000}">
      <text>
        <r>
          <rPr>
            <sz val="9"/>
            <color indexed="81"/>
            <rFont val="Segoe UI"/>
            <family val="2"/>
          </rPr>
          <t xml:space="preserve">ILA must provide training material (e.g. videos) in easy language, explaining the contact person's liability and the system's limitations. The documentation should recommend not to use the system if the contact person is ill or unavailable.   </t>
        </r>
      </text>
    </comment>
    <comment ref="E2" authorId="0" shapeId="0" xr:uid="{00000000-0006-0000-0300-000002000000}">
      <text>
        <r>
          <rPr>
            <sz val="9"/>
            <color indexed="81"/>
            <rFont val="Segoe UI"/>
            <family val="2"/>
          </rPr>
          <t>End user documentation of a software system, regardless of the media used for it (printed, online text, video, audio, …). Includes also dedicated training material.</t>
        </r>
      </text>
    </comment>
    <comment ref="F2" authorId="0" shapeId="0" xr:uid="{00000000-0006-0000-0300-000003000000}">
      <text>
        <r>
          <rPr>
            <sz val="9"/>
            <color indexed="81"/>
            <rFont val="Segoe UI"/>
            <family val="2"/>
          </rPr>
          <t xml:space="preserve">Safety primarily means protecting a person against harm. It includes also the subjective feeling of "being well protected". </t>
        </r>
      </text>
    </comment>
    <comment ref="B3" authorId="0" shapeId="0" xr:uid="{00000000-0006-0000-0300-000004000000}">
      <text>
        <r>
          <rPr>
            <sz val="9"/>
            <color indexed="81"/>
            <rFont val="Segoe UI"/>
            <family val="2"/>
          </rPr>
          <t>If there are multiple contact persons, each with limited availability: in that case, ILA's registration process for contact persons must be designed in a such a way that times where none of the contact persons is available, this is immediately visible and obvious. Yes, so and so and so and so on....</t>
        </r>
      </text>
    </comment>
    <comment ref="E3" authorId="0" shapeId="0" xr:uid="{00000000-0006-0000-0300-000005000000}">
      <text>
        <r>
          <rPr>
            <sz val="9"/>
            <color indexed="81"/>
            <rFont val="Segoe UI"/>
            <family val="2"/>
          </rPr>
          <t xml:space="preserve">Any kind of human-computer interface, regardless of technology. Usually based on software (web UI, app, rich client, etc.), but also including hardware interfaces likes switches or buttons. </t>
        </r>
      </text>
    </comment>
    <comment ref="F3" authorId="0" shapeId="0" xr:uid="{00000000-0006-0000-0300-000006000000}">
      <text>
        <r>
          <rPr>
            <sz val="9"/>
            <color indexed="81"/>
            <rFont val="Segoe UI"/>
            <family val="2"/>
          </rPr>
          <t xml:space="preserve">Safety primarily means protecting a person against harm. It includes also the subjective feeling of "being well protected". </t>
        </r>
      </text>
    </comment>
    <comment ref="B4" authorId="0" shapeId="0" xr:uid="{00000000-0006-0000-0300-000007000000}">
      <text>
        <r>
          <rPr>
            <sz val="9"/>
            <color indexed="81"/>
            <rFont val="Segoe UI"/>
            <family val="2"/>
          </rPr>
          <t>Fehler 2015</t>
        </r>
      </text>
    </comment>
    <comment ref="E4" authorId="0" shapeId="0" xr:uid="{00000000-0006-0000-0300-000008000000}">
      <text>
        <r>
          <rPr>
            <sz val="9"/>
            <color indexed="81"/>
            <rFont val="Segoe UI"/>
            <family val="2"/>
          </rPr>
          <t>End user documentation of a software system, regardless of the media used for it (printed, online text, video, audio, …). Includes also dedicated training material.</t>
        </r>
      </text>
    </comment>
    <comment ref="F4" authorId="0" shapeId="0" xr:uid="{00000000-0006-0000-0300-000009000000}">
      <text>
        <r>
          <rPr>
            <sz val="9"/>
            <color indexed="81"/>
            <rFont val="Segoe UI"/>
            <family val="2"/>
          </rPr>
          <t xml:space="preserve">Safety primarily means protecting a person against harm. It includes also the subjective feeling of "being well protected". </t>
        </r>
      </text>
    </comment>
    <comment ref="B5" authorId="0" shapeId="0" xr:uid="{00000000-0006-0000-0300-00000A000000}">
      <text>
        <r>
          <rPr>
            <sz val="9"/>
            <color indexed="81"/>
            <rFont val="Segoe UI"/>
            <family val="2"/>
          </rPr>
          <t>ILA must be able to automatically forward a distress call to an emergency call system.</t>
        </r>
      </text>
    </comment>
    <comment ref="E5" authorId="0" shapeId="0" xr:uid="{00000000-0006-0000-0300-00000B000000}">
      <text>
        <r>
          <rPr>
            <sz val="9"/>
            <color indexed="81"/>
            <rFont val="Segoe UI"/>
            <family val="2"/>
          </rPr>
          <t>Call of an external system in order to obtain additional functionality.</t>
        </r>
      </text>
    </comment>
    <comment ref="F5" authorId="0" shapeId="0" xr:uid="{00000000-0006-0000-0300-00000C000000}">
      <text>
        <r>
          <rPr>
            <sz val="9"/>
            <color indexed="81"/>
            <rFont val="Segoe UI"/>
            <family val="2"/>
          </rPr>
          <t xml:space="preserve">Safety primarily means protecting a person against harm. It includes also the subjective feeling of "being well protected". </t>
        </r>
      </text>
    </comment>
    <comment ref="B6" authorId="0" shapeId="0" xr:uid="{00000000-0006-0000-0300-00000D000000}">
      <text>
        <r>
          <rPr>
            <sz val="9"/>
            <color indexed="81"/>
            <rFont val="Segoe UI"/>
            <family val="2"/>
          </rPr>
          <t>ILA must be able to automatically forward a distress call to an emergency call system.</t>
        </r>
      </text>
    </comment>
    <comment ref="E6" authorId="0" shapeId="0" xr:uid="{00000000-0006-0000-0300-00000E000000}">
      <text>
        <r>
          <rPr>
            <sz val="9"/>
            <color indexed="81"/>
            <rFont val="Segoe UI"/>
            <family val="2"/>
          </rPr>
          <t>A calculus to model a certain behaviour, or solve a problem. There is a grey area between an entity's business logic (belongs to Data Entity) and an Algorithm (which needs so much code that you would write a dedicated class or event service for it).</t>
        </r>
      </text>
    </comment>
    <comment ref="F6" authorId="0" shapeId="0" xr:uid="{00000000-0006-0000-0300-00000F000000}">
      <text>
        <r>
          <rPr>
            <sz val="9"/>
            <color indexed="81"/>
            <rFont val="Segoe UI"/>
            <family val="2"/>
          </rPr>
          <t xml:space="preserve">Safety primarily means protecting a person against harm. It includes also the subjective feeling of "being well protected". </t>
        </r>
      </text>
    </comment>
    <comment ref="B7" authorId="0" shapeId="0" xr:uid="{00000000-0006-0000-0300-00001000000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7" authorId="0" shapeId="0" xr:uid="{00000000-0006-0000-0300-000011000000}">
      <text>
        <r>
          <rPr>
            <sz val="9"/>
            <color indexed="81"/>
            <rFont val="Segoe UI"/>
            <family val="2"/>
          </rPr>
          <t>End user documentation of a software system, regardless of the media used for it (printed, online text, video, audio, …). Includes also dedicated training material.</t>
        </r>
      </text>
    </comment>
    <comment ref="F7" authorId="0" shapeId="0" xr:uid="{00000000-0006-0000-0300-000012000000}">
      <text>
        <r>
          <rPr>
            <sz val="9"/>
            <color indexed="81"/>
            <rFont val="Segoe UI"/>
            <family val="2"/>
          </rPr>
          <t>Care is given and decisions and responsibility are taken on behalf of the other – the one in need – to the extent that that person is no longer able to do these things themselves [...].</t>
        </r>
      </text>
    </comment>
    <comment ref="B8" authorId="0" shapeId="0" xr:uid="{00000000-0006-0000-0300-00001300000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8" authorId="0" shapeId="0" xr:uid="{00000000-0006-0000-0300-000014000000}">
      <text>
        <r>
          <rPr>
            <sz val="9"/>
            <color indexed="81"/>
            <rFont val="Segoe UI"/>
            <family val="2"/>
          </rPr>
          <t>End user documentation of a software system, regardless of the media used for it (printed, online text, video, audio, …). Includes also dedicated training material.</t>
        </r>
      </text>
    </comment>
    <comment ref="F8" authorId="0" shapeId="0" xr:uid="{00000000-0006-0000-0300-000015000000}">
      <text>
        <r>
          <rPr>
            <sz val="9"/>
            <color indexed="81"/>
            <rFont val="Segoe UI"/>
            <family val="2"/>
          </rPr>
          <t>Care is given and decisions and responsibility are taken on behalf of the other – the one in need – to the extent that that person is no longer able to do these things themselves [...].</t>
        </r>
      </text>
    </comment>
    <comment ref="B9" authorId="0" shapeId="0" xr:uid="{00000000-0006-0000-0300-000016000000}">
      <text>
        <r>
          <rPr>
            <sz val="9"/>
            <color indexed="81"/>
            <rFont val="Segoe UI"/>
            <family val="2"/>
          </rPr>
          <t>ILA must provide introductory training material for caregivers and nursing home management, explaining recommendations for ILA registration and tracker use within these organisations.</t>
        </r>
      </text>
    </comment>
    <comment ref="E9" authorId="0" shapeId="0" xr:uid="{00000000-0006-0000-0300-000017000000}">
      <text>
        <r>
          <rPr>
            <sz val="9"/>
            <color indexed="81"/>
            <rFont val="Segoe UI"/>
            <family val="2"/>
          </rPr>
          <t>End user documentation of a software system, regardless of the media used for it (printed, online text, video, audio, …). Includes also dedicated training material.</t>
        </r>
      </text>
    </comment>
    <comment ref="F9" authorId="0" shapeId="0" xr:uid="{00000000-0006-0000-0300-000018000000}">
      <text>
        <r>
          <rPr>
            <sz val="9"/>
            <color indexed="81"/>
            <rFont val="Segoe UI"/>
            <family val="2"/>
          </rPr>
          <t>The term autonomy […] is nowadays often equated with an individual’s maximum freedom of decision and action.</t>
        </r>
      </text>
    </comment>
    <comment ref="B10" authorId="0" shapeId="0" xr:uid="{74C6F6B7-6DBF-4224-BE35-175731961E75}">
      <text>
        <r>
          <rPr>
            <sz val="9"/>
            <color indexed="81"/>
            <rFont val="Segoe UI"/>
            <family val="2"/>
          </rPr>
          <t>ILA must follow the standarts of data privacy and possibly be certified in doing so</t>
        </r>
      </text>
    </comment>
    <comment ref="E10" authorId="0" shapeId="0" xr:uid="{C479749D-87A3-4D0A-8878-3CA5DF67A797}">
      <text>
        <r>
          <rPr>
            <sz val="9"/>
            <color indexed="81"/>
            <rFont val="Segoe UI"/>
            <family val="2"/>
          </rPr>
          <t>End user documentation of a software system, regardless of the media used for it (printed, online text, video, audio, …). Includes also dedicated training material.</t>
        </r>
      </text>
    </comment>
    <comment ref="F10" authorId="0" shapeId="0" xr:uid="{9BA65A01-239F-4C61-9AD6-E9AF60504482}">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B11" authorId="0" shapeId="0" xr:uid="{E312F32F-0431-4420-A8C5-570EEA3402B8}">
      <text>
        <r>
          <rPr>
            <sz val="9"/>
            <color indexed="81"/>
            <rFont val="Segoe UI"/>
            <family val="2"/>
          </rPr>
          <t>ILA must follow the standarts of data privacy and possibly be certified in doing so</t>
        </r>
      </text>
    </comment>
    <comment ref="E11" authorId="0" shapeId="0" xr:uid="{4CFC5F17-3094-46F0-8E35-DB47D85A9782}">
      <text>
        <r>
          <rPr>
            <sz val="9"/>
            <color indexed="81"/>
            <rFont val="Segoe UI"/>
            <family val="2"/>
          </rPr>
          <t>End user documentation of a software system, regardless of the media used for it (printed, online text, video, audio, …). Includes also dedicated training material.</t>
        </r>
      </text>
    </comment>
    <comment ref="F11" authorId="0" shapeId="0" xr:uid="{F93946B6-8770-4228-A0A2-44E7DB89D6CD}">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B12" authorId="0" shapeId="0" xr:uid="{1746308B-E425-4ED2-B7D2-00AC78EFD7FC}">
      <text>
        <r>
          <rPr>
            <sz val="9"/>
            <color indexed="81"/>
            <rFont val="Segoe UI"/>
            <family val="2"/>
          </rPr>
          <t>ILA must follow the standarts of data privacy and possibly be certified in doing so</t>
        </r>
      </text>
    </comment>
    <comment ref="E12" authorId="0" shapeId="0" xr:uid="{948960BC-CABC-461A-87AF-63F2965DA523}">
      <text>
        <r>
          <rPr>
            <sz val="9"/>
            <color indexed="81"/>
            <rFont val="Segoe UI"/>
            <family val="2"/>
          </rPr>
          <t>End user documentation of a software system, regardless of the media used for it (printed, online text, video, audio, …). Includes also dedicated training material.</t>
        </r>
      </text>
    </comment>
    <comment ref="F12" authorId="0" shapeId="0" xr:uid="{8FC2032A-A57B-4364-BCC7-4A6CA7B71327}">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B13" authorId="0" shapeId="0" xr:uid="{4200B5B8-6861-4D1D-B36D-736E6495070E}">
      <text>
        <r>
          <rPr>
            <sz val="9"/>
            <color indexed="81"/>
            <rFont val="Segoe UI"/>
            <family val="2"/>
          </rPr>
          <t>ILA must follow the standarts of data privacy and possibly be certified in doing so</t>
        </r>
      </text>
    </comment>
    <comment ref="E13" authorId="0" shapeId="0" xr:uid="{CE6717F8-56DE-44F7-9415-A42D944D7650}">
      <text>
        <r>
          <rPr>
            <sz val="9"/>
            <color indexed="81"/>
            <rFont val="Segoe UI"/>
            <family val="2"/>
          </rPr>
          <t>End user documentation of a software system, regardless of the media used for it (printed, online text, video, audio, …). Includes also dedicated training material.</t>
        </r>
      </text>
    </comment>
    <comment ref="F13" authorId="0" shapeId="0" xr:uid="{AC07287D-14A5-47AA-8DF7-14DFE6E35214}">
      <text>
        <r>
          <rPr>
            <sz val="9"/>
            <color indexed="81"/>
            <rFont val="Segoe UI"/>
            <family val="2"/>
          </rPr>
          <t>(1) Transparency: inform data subject about data use. (2) Purpose limitation / minimization: Store as few data as possible, and use it only for its dedicated purpose. (3) Integrity: prevent unauthorized access. (4) The right to be forgotten.</t>
        </r>
      </text>
    </comment>
    <comment ref="B14" authorId="0" shapeId="0" xr:uid="{E1877BC3-CA4F-436C-896C-B2A5A5B927D2}">
      <text>
        <r>
          <rPr>
            <sz val="9"/>
            <color indexed="81"/>
            <rFont val="Segoe UI"/>
            <family val="2"/>
          </rPr>
          <t>Contact Person or demential person must be able to set grace period before alarm is triggered</t>
        </r>
      </text>
    </comment>
    <comment ref="E14" authorId="0" shapeId="0" xr:uid="{A3AF862F-A102-46DE-9B2E-373FE03A7BDA}">
      <text>
        <r>
          <rPr>
            <sz val="9"/>
            <color indexed="81"/>
            <rFont val="Segoe UI"/>
            <family val="2"/>
          </rPr>
          <t>A calculus to model a certain behaviour, or solve a problem. There is a grey area between an entity's business logic (belongs to Data Entity) and an Algorithm (which needs so much code that you would write a dedicated class or event service for it).</t>
        </r>
      </text>
    </comment>
    <comment ref="F14" authorId="0" shapeId="0" xr:uid="{46C182E7-B32B-4DE4-B644-AAB4B52D41E4}">
      <text>
        <r>
          <rPr>
            <sz val="9"/>
            <color indexed="81"/>
            <rFont val="Segoe UI"/>
            <family val="2"/>
          </rPr>
          <t>The term autonomy […] is nowadays often equated with an individual’s maximum freedom of decision and action.</t>
        </r>
      </text>
    </comment>
    <comment ref="B15" authorId="0" shapeId="0" xr:uid="{9B51167B-D080-4248-BDC6-A1D0EEFB627A}">
      <text>
        <r>
          <rPr>
            <sz val="9"/>
            <color indexed="81"/>
            <rFont val="Segoe UI"/>
            <family val="2"/>
          </rPr>
          <t>Contact Person or demential person must be able to set grace period before alarm is triggered</t>
        </r>
      </text>
    </comment>
    <comment ref="E15" authorId="0" shapeId="0" xr:uid="{8474B448-CD80-454D-AEC1-9BAAFCB495DE}">
      <text>
        <r>
          <rPr>
            <sz val="9"/>
            <color indexed="81"/>
            <rFont val="Segoe UI"/>
            <family val="2"/>
          </rPr>
          <t>Persistent domain entity (in the DDD sense), i.e. an important concept of the business domain with a persistance representation in some kind of database.</t>
        </r>
      </text>
    </comment>
    <comment ref="F15" authorId="0" shapeId="0" xr:uid="{7272F723-93FC-4ECE-9009-B3D446D4CAC4}">
      <text>
        <r>
          <rPr>
            <sz val="9"/>
            <color indexed="81"/>
            <rFont val="Segoe UI"/>
            <family val="2"/>
          </rPr>
          <t>The term autonomy […] is nowadays often equated with an individual’s maximum freedom of decision and action.</t>
        </r>
      </text>
    </comment>
    <comment ref="B16" authorId="0" shapeId="0" xr:uid="{398631AF-FCDB-4396-97CB-101F94F06C70}">
      <text>
        <r>
          <rPr>
            <sz val="9"/>
            <color indexed="81"/>
            <rFont val="Segoe UI"/>
            <family val="2"/>
          </rPr>
          <t>The legal situation must be asserted to provide each stakeholder with their obligations/risks</t>
        </r>
      </text>
    </comment>
    <comment ref="E16" authorId="0" shapeId="0" xr:uid="{1F0EA70B-166C-4807-84A8-F5859F6B6DFD}">
      <text>
        <r>
          <rPr>
            <sz val="9"/>
            <color indexed="81"/>
            <rFont val="Segoe UI"/>
            <family val="2"/>
          </rPr>
          <t>End user documentation of a software system, regardless of the media used for it (printed, online text, video, audio, …). Includes also dedicated training material.</t>
        </r>
      </text>
    </comment>
    <comment ref="F16" authorId="0" shapeId="0" xr:uid="{FDBB1088-3B5B-416C-8C48-DA93D34FF0FC}">
      <text>
        <r>
          <rPr>
            <sz val="9"/>
            <color indexed="81"/>
            <rFont val="Segoe UI"/>
            <family val="2"/>
          </rPr>
          <t>Does the system save effort (time, money, responsibilities, …), or does it require additional resources for its operation (compared to a situation without the system)?</t>
        </r>
      </text>
    </comment>
    <comment ref="B17" authorId="0" shapeId="0" xr:uid="{DEDA123C-010C-427B-8C34-342D5704B4C4}">
      <text>
        <r>
          <rPr>
            <sz val="9"/>
            <color indexed="81"/>
            <rFont val="Segoe UI"/>
            <family val="2"/>
          </rPr>
          <t>Button should be plug&amp;play and easy to maintain (no battery replacement, no further communiation with us)</t>
        </r>
      </text>
    </comment>
    <comment ref="E17" authorId="0" shapeId="0" xr:uid="{35764017-1A40-48FD-AEB3-BD410034F156}">
      <text>
        <r>
          <rPr>
            <sz val="9"/>
            <color indexed="81"/>
            <rFont val="Segoe UI"/>
            <family val="2"/>
          </rPr>
          <t>Fehler 2042</t>
        </r>
      </text>
    </comment>
    <comment ref="F17" authorId="0" shapeId="0" xr:uid="{305DA070-FEF4-433D-BF41-01B31142370D}">
      <text>
        <r>
          <rPr>
            <sz val="9"/>
            <color indexed="81"/>
            <rFont val="Segoe UI"/>
            <family val="2"/>
          </rPr>
          <t>Does the system save effort (time, money, responsibilities, …), or does it require additional resources for its operation (compared to a situation without the system)?</t>
        </r>
      </text>
    </comment>
    <comment ref="B18" authorId="0" shapeId="0" xr:uid="{2B327DD6-9E2D-4721-B803-BC18A7163E87}">
      <text>
        <r>
          <rPr>
            <sz val="9"/>
            <color indexed="81"/>
            <rFont val="Segoe UI"/>
            <family val="2"/>
          </rPr>
          <t>Subscriber pays for the infastructure (button, server, tracker, etc)</t>
        </r>
      </text>
    </comment>
    <comment ref="E18" authorId="0" shapeId="0" xr:uid="{8AF50A85-4EB7-437C-8D50-7C15DAC5F3FC}">
      <text>
        <r>
          <rPr>
            <sz val="9"/>
            <color indexed="81"/>
            <rFont val="Segoe UI"/>
            <family val="2"/>
          </rPr>
          <t>A centrally orchestrated sequence of business events, implemented in whatever technology (BPMN, code, …). The process activities involve calls to Data Entities, APIs, or Algorithms.</t>
        </r>
      </text>
    </comment>
    <comment ref="F18" authorId="0" shapeId="0" xr:uid="{EC79502D-A9FC-4C17-916C-38FEE7C0F78E}">
      <text>
        <r>
          <rPr>
            <sz val="9"/>
            <color indexed="81"/>
            <rFont val="Segoe UI"/>
            <family val="2"/>
          </rPr>
          <t xml:space="preserve">Profitability means an organisation's ability to fund its operations and strategic development out of its revenues. </t>
        </r>
      </text>
    </comment>
  </commentList>
</comments>
</file>

<file path=xl/sharedStrings.xml><?xml version="1.0" encoding="utf-8"?>
<sst xmlns="http://schemas.openxmlformats.org/spreadsheetml/2006/main" count="566" uniqueCount="283">
  <si>
    <t>Care</t>
  </si>
  <si>
    <t>Autonomy</t>
  </si>
  <si>
    <t>Safety</t>
  </si>
  <si>
    <t>Fairness</t>
  </si>
  <si>
    <t>Privacy</t>
  </si>
  <si>
    <t>Participation</t>
  </si>
  <si>
    <t>Self-Conception</t>
  </si>
  <si>
    <t>Profitability</t>
  </si>
  <si>
    <t>Opportunity</t>
  </si>
  <si>
    <t>Stakeholder</t>
  </si>
  <si>
    <t>Level</t>
  </si>
  <si>
    <t>Criterion</t>
  </si>
  <si>
    <t>C</t>
  </si>
  <si>
    <t>Abbreviations</t>
  </si>
  <si>
    <t>S</t>
  </si>
  <si>
    <t>Scenario</t>
  </si>
  <si>
    <t>G</t>
  </si>
  <si>
    <t>Goal</t>
  </si>
  <si>
    <t>R</t>
  </si>
  <si>
    <t>Risk</t>
  </si>
  <si>
    <t>Number</t>
  </si>
  <si>
    <t>Kind of Effect</t>
  </si>
  <si>
    <t>strongly negative</t>
  </si>
  <si>
    <t>none</t>
  </si>
  <si>
    <t>No effect</t>
  </si>
  <si>
    <t>slightly negative</t>
  </si>
  <si>
    <t>What does that mean for a person?</t>
  </si>
  <si>
    <t>What does that mean for an organisation?</t>
  </si>
  <si>
    <t>slightly positive</t>
  </si>
  <si>
    <t>strongly positive</t>
  </si>
  <si>
    <t>ID</t>
  </si>
  <si>
    <t>by …</t>
  </si>
  <si>
    <t>For Stakeholder …</t>
  </si>
  <si>
    <t>I</t>
  </si>
  <si>
    <t>O</t>
  </si>
  <si>
    <t>What does that mean for society?</t>
  </si>
  <si>
    <t>The term autonomy […] is nowadays often equated with an individual’s maximum freedom of decision and action.</t>
  </si>
  <si>
    <t>Care is given and decisions and responsibility are taken on behalf of the other – the one in need – to the extent that that person is no longer able to do these things themselves [...].</t>
  </si>
  <si>
    <t>Caregiver</t>
  </si>
  <si>
    <t>Nursing Home</t>
  </si>
  <si>
    <t>Health Insurance</t>
  </si>
  <si>
    <t>ILA Startup</t>
  </si>
  <si>
    <t>Society</t>
  </si>
  <si>
    <t xml:space="preserve">Fairness means that the same standards are applied to everyone, and that ressources are provided according to degree of neediness. </t>
  </si>
  <si>
    <t>Participation […] means providing people with access, rights, services, and assets that enable them to live together with other people in society.</t>
  </si>
  <si>
    <t>Letter</t>
  </si>
  <si>
    <t>Meaning</t>
  </si>
  <si>
    <t>Dimension</t>
  </si>
  <si>
    <t>I, S</t>
  </si>
  <si>
    <t>O, S</t>
  </si>
  <si>
    <t>I, O, S</t>
  </si>
  <si>
    <t xml:space="preserve">Profitability means an organisation's ability to fund its operations and strategic development out of its revenues. </t>
  </si>
  <si>
    <t>Person Suffering From Dementia</t>
  </si>
  <si>
    <t>System might affect …</t>
  </si>
  <si>
    <t>Type</t>
  </si>
  <si>
    <t>Person suffering from dementia lives in his/her own appartment or house</t>
  </si>
  <si>
    <t>Person suffering from dementia lives in in a nursing home</t>
  </si>
  <si>
    <t>Contact Person</t>
  </si>
  <si>
    <t>Closeness Of Contact Person</t>
  </si>
  <si>
    <t>One main contact person living in same household or nearby, frequently available, and capable of helping</t>
  </si>
  <si>
    <t>Several contact persons, not all living nearby, not all frequently available</t>
  </si>
  <si>
    <t xml:space="preserve">Legal Status </t>
  </si>
  <si>
    <t xml:space="preserve">Place Of Residence </t>
  </si>
  <si>
    <t>Person suffering from dementia is still legally competent to sign any documents</t>
  </si>
  <si>
    <t>Person suffering from dementia is under guardianship</t>
  </si>
  <si>
    <t>for the following reason (in the best case for positive effects, in the worst case for negative effects) …</t>
  </si>
  <si>
    <t>If ILA is implemented improperly, a contact person or an unauthorized 3rd party could track the movements of the person suffering from dementia.</t>
  </si>
  <si>
    <t xml:space="preserve">Every time ILA produces "false alerts", the person suffering from dementia will feel checked on, or micro-managed (because a contact persons appears offering help that the person does not need in this moment). In the worst case, ILA might be perceived as a system that allows an external person to control one's movements. </t>
  </si>
  <si>
    <t>In the best case scenario, ILA might give a contact person some "peace of mind" with regard to the well-being of a related person suffering from dementia. ILA might help the contact person to better handle a great responsibility.</t>
  </si>
  <si>
    <t xml:space="preserve">The constant risk of being alerted might severely impact the contact person's freedom to plan her own time. This effect would get worse if ILA produces many false alerts. </t>
  </si>
  <si>
    <t>S-2.2</t>
  </si>
  <si>
    <t>S-1.2</t>
  </si>
  <si>
    <t>If there are several contact persons sharing the responsibility, in the worst case one contact might have to handle a lot more load than others.</t>
  </si>
  <si>
    <t xml:space="preserve">If ILA produces many false alerts, the frequent calls for support might cause considerable effort for the contact person. </t>
  </si>
  <si>
    <t xml:space="preserve">If ILA fulfills its promises, there will be less situations where a caregiver feels she should prevent a patient with dementia from going outside (for safety reasons, and with subtle means, as this is officially illegal). </t>
  </si>
  <si>
    <t xml:space="preserve">Administration of ILA (handling of GPS sensor, battery monitoring and change, administration of data, …) might require some effort from the contact person. </t>
  </si>
  <si>
    <t>Nursing  Home Management</t>
  </si>
  <si>
    <t>Does the system save effort (time, money, responsibilities, …), or does it require additional resources for its operation (compared to a situation without the system)?</t>
  </si>
  <si>
    <t>Liability</t>
  </si>
  <si>
    <t xml:space="preserve">In the best case scenario, with the help of ILA there might be less situations where an inhabitant of the nursing home goes missing, and the police needs to be notified. </t>
  </si>
  <si>
    <t>If the nursing home is in any way (co-)responsible for the introduction and use of ILA, any failure might backfire and cast a bad light on the management.</t>
  </si>
  <si>
    <t>Administration of ILA (handling of GPS sensor, battery monitoring and change, administration of data, …) might require some effort from the nursing home management, if the operation of ILA is in their hands.</t>
  </si>
  <si>
    <t>Scen1</t>
  </si>
  <si>
    <t>Scen2</t>
  </si>
  <si>
    <t>S-4.3</t>
  </si>
  <si>
    <t>S-4.2</t>
  </si>
  <si>
    <t>Opportunity describes an organisation's ability and position to drive innovation, expand its market share, improve customer loyalty, or pursue any other strategic goals.</t>
  </si>
  <si>
    <t>If the registration process for ILA requires the person suffering from dementia to go to unusual places (e.g. the nursing home management office), this process might be perceived as uncomfortable. If the person is confused, she might e.g. think that she has done something wrong, and is about to be "punished".</t>
  </si>
  <si>
    <t xml:space="preserve">In case ILA is a service covered by health insurance, then there is a risk of unfair treatment of patients with regard to who is entitled to it. </t>
  </si>
  <si>
    <t>If ILA is offered as an innovative health insurance service, the insurance's reputation is at stake in case something goes wrong.</t>
  </si>
  <si>
    <t>In the best possible case, ILA will contribute to persons suffering from dementia living longer in their own home, thus saving cost for the health insurance.</t>
  </si>
  <si>
    <t>If ILA is sucessful, the insurance's reputation may benefit for offering such an innovative service.</t>
  </si>
  <si>
    <t>ILA Operation</t>
  </si>
  <si>
    <t>ILA Sponsorship</t>
  </si>
  <si>
    <t>ILA is paid for by the person suffering from dementia, or a relative</t>
  </si>
  <si>
    <t>ILA is paid for by the health insurance</t>
  </si>
  <si>
    <t>ILA is run as a stand-alone platform, administered by a contact person</t>
  </si>
  <si>
    <t>ILA operates as part of a home emergency call service</t>
  </si>
  <si>
    <t>ILA is run as a stand-alone platform, offered as a nursing home service and administed by the nursing home</t>
  </si>
  <si>
    <t>S-5.2</t>
  </si>
  <si>
    <t xml:space="preserve">The ILA provider will earn money with the product. </t>
  </si>
  <si>
    <t xml:space="preserve">The company behind ILA will run an existential risk in case anything goes wrong. </t>
  </si>
  <si>
    <t>Any privacy breach is a potential violation of GDPR laws.</t>
  </si>
  <si>
    <t xml:space="preserve">If there are data leaks in ILA, and personal data of health insurance customers get into the wrong hands, the health insurance might contributed to a GDPR laws violation. </t>
  </si>
  <si>
    <t xml:space="preserve">A B2B connection to ILA might cause severe technical efforts for the home emergency call system operator (APIs, connectivity functionality). </t>
  </si>
  <si>
    <t>The business model of the home emergency call system might have to be changed in order to work together with ILA (integration with the mobile emergency service).</t>
  </si>
  <si>
    <t>If ILA works as planned, a timely intervention may stop a challenging situation (say, a panic attack) into escalating into an actual emergency.</t>
  </si>
  <si>
    <t>Emergency Call System Operator</t>
  </si>
  <si>
    <t>If ILA operation is coupled to an emergency call system, there might be additional technical constraints on hardware and support model, affecting profitability.</t>
  </si>
  <si>
    <t>The interface between ILA and emergency call system operator might a risk for data leaks, if poorly implemented.</t>
  </si>
  <si>
    <t xml:space="preserve">ILA has the potential to generelly improve autonomy of persons suffering from dementia, if rolled out on a broad scale. </t>
  </si>
  <si>
    <t xml:space="preserve">ILA has the potential to generelly improve particicaption of persons suffering from dementia, if rolled out on a broad scale. </t>
  </si>
  <si>
    <t>If poorly implemented, ILA might contribute to a general loss of privacy by technical support solutions.</t>
  </si>
  <si>
    <t>ILA might be perceived as a value-adding feature to an early-adopting emergency call systems, improving its market position compared to competitors.</t>
  </si>
  <si>
    <t>Selling ILA as a value adding feature might generate an additional profit for the emergency call operator.</t>
  </si>
  <si>
    <t xml:space="preserve">The technical effort for connecting ILA might be more costly than the additional revenue. </t>
  </si>
  <si>
    <t>Requirement</t>
  </si>
  <si>
    <t>RQ</t>
  </si>
  <si>
    <t>In case ILA does not fulfill its promise to quickly provide support and help in a challenging situation, a person suffering from dementia may perceive this as a kind of betrayal - this way her subjective sense of safety might be severely impacted.</t>
  </si>
  <si>
    <t xml:space="preserve">ILA must provide training material (e.g. videos) in easy language, explaining the contact person's liability and the system's limitations. The documentation should recommend not to use the system if the contact person is ill or unavailable.   </t>
  </si>
  <si>
    <t>ILA must be able to automatically forward a distress call to an emergency call system.</t>
  </si>
  <si>
    <t xml:space="preserve">Safety primarily means protecting a person against harm. It includes also the subjective feeling of "being well protected". </t>
  </si>
  <si>
    <t>Stakeholder:</t>
  </si>
  <si>
    <t xml:space="preserve">Dimension: </t>
  </si>
  <si>
    <t>A person suffering from dementia can leave her living quarters with the assurance that she will be helped, in case she loses her way, or has a panic attack. In addition, caregivers or relatives have less incentives to keep the person from going out (for safety reasons, in a more or less subtle manner).</t>
  </si>
  <si>
    <t>Realization</t>
  </si>
  <si>
    <t>Potential</t>
  </si>
  <si>
    <t>Explanation</t>
  </si>
  <si>
    <t>This measure contributes to a major goal, but is not sufficient to realize it (on its own).</t>
  </si>
  <si>
    <t>Index</t>
  </si>
  <si>
    <t>This measure fully realizes a minor goal.</t>
  </si>
  <si>
    <t>This measure adresses a major risk, and makes it less severe.</t>
  </si>
  <si>
    <t>This measure fully solves a minor risk.</t>
  </si>
  <si>
    <t>This measure fully solves a major risk.</t>
  </si>
  <si>
    <t xml:space="preserve">This measure adresses a major risk, but it cannot mitigate it (on its own). </t>
  </si>
  <si>
    <t xml:space="preserve">This measure adresses a minor risk, but it cannot mitigate it (on its own). </t>
  </si>
  <si>
    <t>This measure contributes to a minor goal, but is not sufficient to realize it (on its own).</t>
  </si>
  <si>
    <t>This measure partially realizes a major goal.</t>
  </si>
  <si>
    <t>This measure fully realizes a major goal.</t>
  </si>
  <si>
    <t>This cannot happen.</t>
  </si>
  <si>
    <t>Realization Explanation</t>
  </si>
  <si>
    <t>RQ004</t>
  </si>
  <si>
    <t>Similar to the autonomy gain, the option to freely leave one's home makes it easier for the person suffering from dementia to participate in social events, without being accompanied by a relative or a caregiver.</t>
  </si>
  <si>
    <t>The person herself, and nearly all persons around her, notice a clear improvement in the person's physical or mental well-being, financial situation, or social context.</t>
  </si>
  <si>
    <t>The person herself, or some persons around her, notice a slight improvement on certain aspects of the person's physical or mental well-being, financial situation, or social context.</t>
  </si>
  <si>
    <t>The person herself, or some persons around her, notice slight risks for, or a slight degradation of, a person's well-being, financial situation, or social context.</t>
  </si>
  <si>
    <t>The person herself, and nearly all persons around her, notice strong risks for, or a clear degradation of, a person's well-being, financial situation, or social context.</t>
  </si>
  <si>
    <t>Individual stakeholders report a slight improvement in some organisational aspect (processes, workforce, finance, market situation, …). The effect is not necessarily noticed by everyone in the organisation, nor does it have to show clearly in the usual indicators.</t>
  </si>
  <si>
    <t>Some stakeholders of the organisation report some additional strain or risks (additional workload, costs, organisational hassle, market risks, financial risks, ...). The effect is not necessarily noticed by everyone in the organisation, nor does it have to show clearly in the usual indicators.</t>
  </si>
  <si>
    <t>Multiple stakeholders independently report substantial additional strain or risks (workload, costs, organisational hassle, market risks, financial risks, ...). The effect is noticed throughout the organisation, and can be clearly measured by indicators.</t>
  </si>
  <si>
    <t>Multiple stakeholders independently report a substantial  improvement in some organisational aspect (processes, workforce, finance, market situation, …). The effect can be clearly measured by the usual indicators.</t>
  </si>
  <si>
    <t>Members of the same societal group consistently report substantial improvements in some aspect. The effect can be clearly measured by indicators.</t>
  </si>
  <si>
    <t>Some members of a societal group report slight improvements in some aspect. The effect does not necessarily show up in any indicator.</t>
  </si>
  <si>
    <t>Some members of a societal group report additional strain or risks in some aspect. The effect does not necessarily show up in any indicator.</t>
  </si>
  <si>
    <t>Members of the same societal group consistently report substantial additional strain or risks in some aspect. The effect can be clearly measured by indicators.</t>
  </si>
  <si>
    <t>(1) Transparency: inform data subject about data use. (2) Purpose limitation / minimization: Store as few data as possible, and use it only for its dedicated purpose. (3) Integrity: prevent unauthorized access. (4) The right to be forgotten.</t>
  </si>
  <si>
    <t>Costs &amp; Benefits</t>
  </si>
  <si>
    <t xml:space="preserve">A persons' freedom to evaluate and perceive herself according to her own personal mental model. Strongly related is the perceived self-efficacy, the expectation to successfully carry out intended acts based on one's competences. </t>
  </si>
  <si>
    <t>Social Impact</t>
  </si>
  <si>
    <t>The information about the dementia illness might used improperly, e.g. for marketing purposes.</t>
  </si>
  <si>
    <t xml:space="preserve">If ILA is implemented improperly, personal information about a contact person could be leaked to a 3rd party, e.g. for marketing purposes. </t>
  </si>
  <si>
    <t>If the data is not deleted from ILA's data bases after termination of an ILA account, undesired effects (like false alerts) might occur.</t>
  </si>
  <si>
    <t>The idea that "my data is stored somewhere" might alienate the person suffering from dementia.</t>
  </si>
  <si>
    <t xml:space="preserve">If ILA is difficult to administrate, and/or is unreliable in execution, the contact person may get a feeling of "being too stupid to use the system properly". </t>
  </si>
  <si>
    <t>If ILA reliably informs about exceptional situations, it will effectively support the contact person to be a "guardian angel". In that case, the contact person can feel good about her own role.</t>
  </si>
  <si>
    <t>A caregiver may feel better about her own role, if she can allow to let a person suffering from dementia leave the nursing home at any time, with less worries about risks.</t>
  </si>
  <si>
    <t>A properly working ILA will allow the acting persons in nursing home management to provide "care" in the pure sense of the word, giving persons suffering from dementia more autononomy, and having to restrain their movements less frequently. 
will be more in sync with their</t>
  </si>
  <si>
    <t xml:space="preserve">The overall promise of a properly working ILA is supports a health insurance's self image as an "organisation intended to help by innovative means". </t>
  </si>
  <si>
    <t>Location with Alert Button</t>
  </si>
  <si>
    <t>Alert Button User</t>
  </si>
  <si>
    <t xml:space="preserve">If ILA requires the alarm button user to register in the system, she might worry what data is stored about her, and where. </t>
  </si>
  <si>
    <t>If the alert button user's data is not deleted from ILA's data bases after termination of an ILA account, undesired effects (like being contacted for no reason) might occur.</t>
  </si>
  <si>
    <t>If the contact person's data is not deleted from ILA's data bases after termination of an ILA account, undesired effects (like false alerts) might occur.</t>
  </si>
  <si>
    <t xml:space="preserve">If ILA is implemented improperly, personal information about an alert button user could be leaked to a 3rd party, e.g. for marketing purposes. </t>
  </si>
  <si>
    <t>An employee in a location with alert button might fear to have her actions tracked and judged - has she reacted properly if a person suffering from dementia has had a panic attack in her shop?</t>
  </si>
  <si>
    <t>An employee in a location may feel relieved that she an just hit the alert button if a person suffering from dementia has a panic attack in her shop. It saves her the troubles to call for help through other channels.</t>
  </si>
  <si>
    <t>A shop or a medical practice could perceive ILA as a way of "doing good".</t>
  </si>
  <si>
    <t>A shop or a medical practice might fear legal risks of an alert button - can the shop / practice be sued if the alert button is NOT hit in time?</t>
  </si>
  <si>
    <t>Administration of an alert button may cause additional efforts for the shop's / practice's organisation.</t>
  </si>
  <si>
    <t>The alert button(s) may cost money to purchase for the shop / practice.</t>
  </si>
  <si>
    <t>If ILA works well, an alert button may save money and efforts for the shop / practice in case of exceptional situations with customers suffering from dementia.</t>
  </si>
  <si>
    <t>The idea that "my data is stored somewhere" might be frightening for a contact person.</t>
  </si>
  <si>
    <t>If the nursing home manager's data is not deleted from ILA's data bases after termination of an ILA account, undesired effects (like false alerts) might occur.</t>
  </si>
  <si>
    <t>The idea that "my data is stored somewhere" might worry a nursing home manager.</t>
  </si>
  <si>
    <t>If the shop / practice's data is not deleted from ILA's data bases after termination of an ILA account, undesired effects (like false alerts) might occur.</t>
  </si>
  <si>
    <t>If ILA is implemented improperly, personal information about the shop / practice could be leaked to a 3rd party, e.g. for marketing purposes. This is an especially severe risk for medical practices, where information about patients is very sensitive.</t>
  </si>
  <si>
    <t>If ILA is implemented improperly, personal information about a someone from nursing home management could be leaked to a 3rd party, e.g. for marketing purposes. This is an severe risk for nursing home, where information about patients is very sensitive.</t>
  </si>
  <si>
    <t>Origin</t>
  </si>
  <si>
    <t>The idea that "my data is stored somewhere" might cause worry for a shop or practice, esp. if it deals with sensitive personal information (e.g. a doctor's practice).</t>
  </si>
  <si>
    <t>Nr.</t>
  </si>
  <si>
    <t>Description</t>
  </si>
  <si>
    <t>I =</t>
  </si>
  <si>
    <t>individual level</t>
  </si>
  <si>
    <t>O =</t>
  </si>
  <si>
    <t>S =</t>
  </si>
  <si>
    <t>societal level</t>
  </si>
  <si>
    <t>organisational level</t>
  </si>
  <si>
    <t># Goals/Risks</t>
  </si>
  <si>
    <t>Summe</t>
  </si>
  <si>
    <t>Team 1</t>
  </si>
  <si>
    <t>Team 2</t>
  </si>
  <si>
    <t>Team 3</t>
  </si>
  <si>
    <t>Team 4</t>
  </si>
  <si>
    <t>Registration</t>
  </si>
  <si>
    <t>Zone Alert System</t>
  </si>
  <si>
    <t>Broadcast System</t>
  </si>
  <si>
    <t>Alert Button</t>
  </si>
  <si>
    <t>Domains</t>
  </si>
  <si>
    <t>Domain</t>
  </si>
  <si>
    <t>Data Entity</t>
  </si>
  <si>
    <t>API</t>
  </si>
  <si>
    <t>UI</t>
  </si>
  <si>
    <t>Algorithm</t>
  </si>
  <si>
    <t>Process</t>
  </si>
  <si>
    <t>Documentation</t>
  </si>
  <si>
    <t>covered?</t>
  </si>
  <si>
    <t>Persistent domain entity (in the DDD sense), i.e. an important concept of the business domain with a persistance representation in some kind of database.</t>
  </si>
  <si>
    <t>Any kind of documented interface between software/hardware components, regardless of its technology or protocol.</t>
  </si>
  <si>
    <t xml:space="preserve">Any kind of human-computer interface, regardless of technology. Usually based on software (web UI, app, rich client, etc.), but also including hardware interfaces likes switches or buttons. </t>
  </si>
  <si>
    <t>A calculus to model a certain behaviour, or solve a problem. There is a grey area between an entity's business logic (belongs to Data Entity) and an Algorithm (which needs so much code that you would write a dedicated class or event service for it).</t>
  </si>
  <si>
    <t>A centrally orchestrated sequence of business events, implemented in whatever technology (BPMN, code, …). The process activities involve calls to Data Entities, APIs, or Algorithms.</t>
  </si>
  <si>
    <t>End user documentation of a software system, regardless of the media used for it (printed, online text, video, audio, …). Includes also dedicated training material.</t>
  </si>
  <si>
    <t>Component Type</t>
  </si>
  <si>
    <r>
      <t>Social Impact</t>
    </r>
    <r>
      <rPr>
        <i/>
        <sz val="11"/>
        <color theme="1"/>
        <rFont val="Calibri"/>
        <family val="2"/>
        <scheme val="minor"/>
      </rPr>
      <t xml:space="preserve"> (Source: MEESTAR)</t>
    </r>
  </si>
  <si>
    <t>RQ001</t>
  </si>
  <si>
    <t>RQ002</t>
  </si>
  <si>
    <t>RQ003</t>
  </si>
  <si>
    <t>** to be decided **</t>
  </si>
  <si>
    <t>Provide video in easy language about how the alert mechanism in ILA works, targeted at potential contact persons. The video should explain how much depends on the contact person's timely reaction.</t>
  </si>
  <si>
    <t xml:space="preserve">Provide video in easy language that explains the importance of contact persons' availability, in case there is more than one contact person. </t>
  </si>
  <si>
    <t xml:space="preserve">If there are multiple contact persons, each with limited availability: in that case, ILA's registration process for contact persons must be designed in a such a way that times where none of the contact persons is available, this is immediately visible and obvious. </t>
  </si>
  <si>
    <t>API Call</t>
  </si>
  <si>
    <t>Call of an external system in order to obtain additional functionality.</t>
  </si>
  <si>
    <t>There must be a synchronous call to the external API of an emergency call system (like by Malteser, Johanniter, DRK, …). All necessery data (patient identification and location) need to be transmitted as well.</t>
  </si>
  <si>
    <t>Create an algorithm that decides when none of the registered contact persons will react in time. If so, place the API call to the emergency call system. The algorithm needs to deal with situations like a contact person reacting later - what to do with the emergency system call in that case?</t>
  </si>
  <si>
    <t>Adresses</t>
  </si>
  <si>
    <t>Provide video in easy language, targeted at caregivers in nursing homes, explaining how to avoid confusing situations (for the patients suffering from dementia) with the ILA registration process.</t>
  </si>
  <si>
    <t>Epic Text</t>
  </si>
  <si>
    <t>Epic Title</t>
  </si>
  <si>
    <t>Provide video in easy language, targeted at contact persons and caregivers in nursing homes, explaining how to deal with trackers implanted in the patients' shoes (maintenance etc.)</t>
  </si>
  <si>
    <t>Design a Contact Person Availability UI element in such a way that gaps in contact person availability are immediately obvious. E.g. use a timeline with coloured availability bars for different contact persons.</t>
  </si>
  <si>
    <t>Video on alert mechanism</t>
  </si>
  <si>
    <t>UI for contact person availability</t>
  </si>
  <si>
    <t>Video explaining need for timely intervention</t>
  </si>
  <si>
    <t>API call to external emergency call system</t>
  </si>
  <si>
    <t>Broadcast scheduling algorithm with call to emergency system</t>
  </si>
  <si>
    <t>Video on registration process in nursing homes</t>
  </si>
  <si>
    <t>Video on tracker maintenance</t>
  </si>
  <si>
    <t>Video on ILA benefits</t>
  </si>
  <si>
    <t xml:space="preserve">Create a video in easy language, describing the ILA benefits for persons suffering from dementia in terms of autonomy and participation. </t>
  </si>
  <si>
    <t>A Data Privacy failure in ILA might be a legal problem for the nursing home owner, if the nursing home is in any way (co-)responsible for the introduction and use of ILA.</t>
  </si>
  <si>
    <t xml:space="preserve">If ILA is successful, the startup behind ILA will be able to grow. </t>
  </si>
  <si>
    <t>The idea of "im going to be alright because ILA will help me" will make them more self confident in everyday situations</t>
  </si>
  <si>
    <t>An employee in the location of the button feels like they helped by pressing the button</t>
  </si>
  <si>
    <t>An employee in the location of the button feels more secure when interacting with demential customers</t>
  </si>
  <si>
    <t>An employee might be annoyed by the extra responsibility of doing something ontop of their work because it isnt concerning them</t>
  </si>
  <si>
    <t>Shop might experience peer pressure to also install the button when other shops in their neighbourhood do it. Caused by  public relation issues</t>
  </si>
  <si>
    <t>RQ005</t>
  </si>
  <si>
    <t>ILA must follow the standarts of data privacy and possibly be certified in doing so</t>
  </si>
  <si>
    <t>RQ006</t>
  </si>
  <si>
    <t>Contact Person or demential person must be able to set grace period before alarm is triggered</t>
  </si>
  <si>
    <t>ILA must provide introductory training material for caregivers and nursing home management, explaining recommendations for ILA registration and tracker use within these organisations.  Guiding examples for when to press the button must be provided. "Its ok to press the button - thats why its there"</t>
  </si>
  <si>
    <t>RQ007</t>
  </si>
  <si>
    <t>RQ008</t>
  </si>
  <si>
    <t>Button should be plug&amp;play and easy to maintain (no battery replacement, no further communiation with us)</t>
  </si>
  <si>
    <t>RQ009</t>
  </si>
  <si>
    <t>Subscriber pays for the infastructure (button, server, tracker, etc)</t>
  </si>
  <si>
    <t>G61</t>
  </si>
  <si>
    <t>G62</t>
  </si>
  <si>
    <t>R63</t>
  </si>
  <si>
    <t>The legal situation must be asserted to provide each stakeholder with their obligations/risks</t>
  </si>
  <si>
    <t>Privacy Standards</t>
  </si>
  <si>
    <t>Develop privacy compliant and certify privacy standards. Data minimization!!!!!</t>
  </si>
  <si>
    <t>Grace period for alarm trigger</t>
  </si>
  <si>
    <t>Implement an individually configurable grace period.</t>
  </si>
  <si>
    <t>Grace period for person</t>
  </si>
  <si>
    <t>Use the individual grace period when alerting the messaging service.</t>
  </si>
  <si>
    <t>Assert legal stuff</t>
  </si>
  <si>
    <t>We have to know what the legal obligations/implications of our system are.</t>
  </si>
  <si>
    <t>The button is plug&amp;play</t>
  </si>
  <si>
    <t>To make the experience for the users as nice as possible the button has to be plug&amp;play. i.e. with no battery replacement needed,…</t>
  </si>
  <si>
    <t>Subscription process</t>
  </si>
  <si>
    <t>To provide the systems we need an active subscription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</si>
</sst>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
    <numFmt numFmtId="165" formatCode="\+0;\-0;&quot;&quot;"/>
  </numFmts>
  <fonts count="15" x14ac:knownFonts="1">
    <font>
      <sz val="11"/>
      <color theme="1"/>
      <name val="Calibri"/>
      <family val="2"/>
      <scheme val="minor"/>
    </font>
    <font>
      <b/>
      <sz val="11"/>
      <color theme="1"/>
      <name val="Calibri"/>
      <family val="2"/>
      <scheme val="minor"/>
    </font>
    <font>
      <sz val="8"/>
      <color theme="1"/>
      <name val="Calibri"/>
      <family val="2"/>
      <scheme val="minor"/>
    </font>
    <font>
      <sz val="11"/>
      <color theme="0"/>
      <name val="Calibri"/>
      <family val="2"/>
      <scheme val="minor"/>
    </font>
    <font>
      <sz val="9"/>
      <color indexed="81"/>
      <name val="Segoe UI"/>
      <family val="2"/>
    </font>
    <font>
      <b/>
      <sz val="9"/>
      <color indexed="81"/>
      <name val="Segoe UI"/>
      <family val="2"/>
    </font>
    <font>
      <b/>
      <sz val="14"/>
      <color theme="8"/>
      <name val="Calibri"/>
      <family val="2"/>
      <scheme val="minor"/>
    </font>
    <font>
      <sz val="11"/>
      <color theme="0" tint="-0.14999847407452621"/>
      <name val="Calibri"/>
      <family val="2"/>
      <scheme val="minor"/>
    </font>
    <font>
      <sz val="11"/>
      <color rgb="FF000000"/>
      <name val="Calibri"/>
      <family val="2"/>
    </font>
    <font>
      <sz val="9"/>
      <color theme="1"/>
      <name val="Calibri"/>
      <family val="2"/>
      <scheme val="minor"/>
    </font>
    <font>
      <b/>
      <sz val="12"/>
      <color theme="1"/>
      <name val="Calibri"/>
      <family val="2"/>
      <scheme val="minor"/>
    </font>
    <font>
      <i/>
      <sz val="11"/>
      <color theme="1"/>
      <name val="Calibri"/>
      <family val="2"/>
      <scheme val="minor"/>
    </font>
    <font>
      <sz val="6"/>
      <color theme="1"/>
      <name val="Calibri"/>
      <family val="2"/>
      <scheme val="minor"/>
    </font>
    <font>
      <b/>
      <sz val="11"/>
      <color theme="0"/>
      <name val="Calibri"/>
      <family val="2"/>
      <scheme val="minor"/>
    </font>
    <font>
      <b/>
      <sz val="11"/>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theme="7" tint="0.79998168889431442"/>
        <bgColor indexed="64"/>
      </patternFill>
    </fill>
    <fill>
      <patternFill patternType="solid">
        <fgColor rgb="FFFFFFCC"/>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theme="4" tint="0.39997558519241921"/>
        <bgColor indexed="64"/>
      </patternFill>
    </fill>
    <fill>
      <patternFill patternType="solid">
        <fgColor theme="0"/>
        <bgColor indexed="64"/>
      </patternFill>
    </fill>
    <fill>
      <patternFill patternType="solid">
        <fgColor rgb="FFBBE3C5"/>
        <bgColor indexed="64"/>
      </patternFill>
    </fill>
    <fill>
      <patternFill patternType="solid">
        <fgColor rgb="FFFBB3B5"/>
        <bgColor indexed="64"/>
      </patternFill>
    </fill>
    <fill>
      <patternFill patternType="solid">
        <fgColor rgb="FFFFFFFF"/>
        <bgColor indexed="64"/>
      </patternFill>
    </fill>
  </fills>
  <borders count="13">
    <border>
      <left/>
      <right/>
      <top/>
      <bottom/>
      <diagonal/>
    </border>
    <border>
      <left style="thin">
        <color indexed="64"/>
      </left>
      <right/>
      <top/>
      <bottom/>
      <diagonal/>
    </border>
    <border>
      <left/>
      <right/>
      <top/>
      <bottom style="double">
        <color indexed="64"/>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style="double">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bottom style="medium">
        <color indexed="64"/>
      </bottom>
      <diagonal/>
    </border>
    <border>
      <left style="thick">
        <color rgb="FFBBE3C5"/>
      </left>
      <right style="thick">
        <color rgb="FFBBE3C5"/>
      </right>
      <top style="thick">
        <color rgb="FFBBE3C5"/>
      </top>
      <bottom style="thick">
        <color rgb="FFBBE3C5"/>
      </bottom>
      <diagonal/>
    </border>
    <border>
      <left style="thick">
        <color rgb="FFFBB3B5"/>
      </left>
      <right style="thick">
        <color rgb="FFFBB3B5"/>
      </right>
      <top style="thick">
        <color rgb="FFFBB3B5"/>
      </top>
      <bottom style="thick">
        <color rgb="FFFBB3B5"/>
      </bottom>
      <diagonal/>
    </border>
  </borders>
  <cellStyleXfs count="1">
    <xf numFmtId="0" fontId="0" fillId="0" borderId="0"/>
  </cellStyleXfs>
  <cellXfs count="82">
    <xf numFmtId="0" fontId="0" fillId="0" borderId="0" xfId="0"/>
    <xf numFmtId="0" fontId="0" fillId="0" borderId="0" xfId="0" applyAlignment="1">
      <alignment vertical="center" wrapText="1"/>
    </xf>
    <xf numFmtId="0" fontId="1" fillId="0" borderId="2" xfId="0" applyFont="1" applyBorder="1" applyAlignment="1">
      <alignment vertical="center" wrapText="1"/>
    </xf>
    <xf numFmtId="0" fontId="0" fillId="0" borderId="0" xfId="0" applyBorder="1" applyAlignment="1">
      <alignment horizontal="center" vertical="center" wrapText="1"/>
    </xf>
    <xf numFmtId="0" fontId="3" fillId="0" borderId="0" xfId="0" applyFont="1"/>
    <xf numFmtId="0" fontId="1" fillId="0" borderId="0" xfId="0" applyFont="1"/>
    <xf numFmtId="0" fontId="0" fillId="0" borderId="0" xfId="0" applyAlignment="1">
      <alignment horizontal="center" vertical="center"/>
    </xf>
    <xf numFmtId="0" fontId="3" fillId="0" borderId="0" xfId="0" applyFont="1" applyAlignment="1">
      <alignment horizontal="center" vertical="center"/>
    </xf>
    <xf numFmtId="0" fontId="0" fillId="0" borderId="0" xfId="0" applyNumberFormat="1" applyAlignment="1">
      <alignment vertical="center" wrapText="1"/>
    </xf>
    <xf numFmtId="0"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Font="1" applyAlignment="1">
      <alignment vertical="center" wrapText="1"/>
    </xf>
    <xf numFmtId="0" fontId="1" fillId="0" borderId="4" xfId="0" applyFont="1" applyBorder="1" applyAlignment="1">
      <alignment vertical="center" wrapText="1"/>
    </xf>
    <xf numFmtId="164" fontId="0" fillId="0" borderId="0" xfId="0" applyNumberFormat="1" applyAlignment="1">
      <alignment horizontal="center" vertical="center" wrapText="1"/>
    </xf>
    <xf numFmtId="0" fontId="1" fillId="0" borderId="2" xfId="0" applyFont="1" applyBorder="1" applyAlignment="1">
      <alignment horizontal="center" vertical="center" wrapText="1"/>
    </xf>
    <xf numFmtId="0" fontId="0" fillId="0" borderId="0" xfId="0" applyFill="1" applyAlignment="1">
      <alignment vertical="center" wrapText="1"/>
    </xf>
    <xf numFmtId="0" fontId="0" fillId="0" borderId="0" xfId="0" applyFont="1" applyFill="1" applyAlignment="1">
      <alignment vertical="center" wrapText="1"/>
    </xf>
    <xf numFmtId="0" fontId="2" fillId="0" borderId="0" xfId="0" applyFont="1" applyBorder="1" applyAlignment="1">
      <alignment vertical="center" wrapText="1"/>
    </xf>
    <xf numFmtId="165" fontId="0" fillId="0" borderId="5" xfId="0" applyNumberFormat="1" applyBorder="1" applyAlignment="1">
      <alignment horizontal="center" vertical="center" wrapText="1"/>
    </xf>
    <xf numFmtId="165" fontId="0" fillId="0" borderId="0" xfId="0" applyNumberFormat="1" applyAlignment="1">
      <alignment horizontal="center" vertical="center" wrapText="1"/>
    </xf>
    <xf numFmtId="165" fontId="0" fillId="0" borderId="1" xfId="0" applyNumberFormat="1" applyBorder="1" applyAlignment="1">
      <alignment horizontal="center" vertical="center" wrapText="1"/>
    </xf>
    <xf numFmtId="0" fontId="0" fillId="0" borderId="0" xfId="0" applyAlignment="1">
      <alignment vertical="center"/>
    </xf>
    <xf numFmtId="0" fontId="1" fillId="0" borderId="2" xfId="0" applyFont="1" applyBorder="1" applyAlignment="1">
      <alignment horizontal="center" vertical="center" wrapText="1"/>
    </xf>
    <xf numFmtId="0" fontId="0" fillId="5" borderId="0" xfId="0" applyFill="1" applyAlignment="1">
      <alignment vertical="center"/>
    </xf>
    <xf numFmtId="0" fontId="1" fillId="5" borderId="0" xfId="0" applyFont="1" applyFill="1" applyAlignment="1">
      <alignment vertical="center"/>
    </xf>
    <xf numFmtId="0" fontId="0" fillId="5" borderId="0" xfId="0" applyFill="1"/>
    <xf numFmtId="0" fontId="0" fillId="0" borderId="0" xfId="0" applyAlignment="1" applyProtection="1">
      <alignment vertical="center" wrapText="1"/>
      <protection locked="0"/>
    </xf>
    <xf numFmtId="0" fontId="1" fillId="0" borderId="0" xfId="0" applyFont="1" applyFill="1" applyAlignment="1">
      <alignment vertical="center" wrapText="1"/>
    </xf>
    <xf numFmtId="0" fontId="0" fillId="0" borderId="0" xfId="0" applyFill="1"/>
    <xf numFmtId="0" fontId="1" fillId="0" borderId="0" xfId="0" applyFont="1" applyAlignment="1">
      <alignment vertical="center" wrapText="1"/>
    </xf>
    <xf numFmtId="0" fontId="1" fillId="0" borderId="0" xfId="0" applyFont="1" applyAlignment="1">
      <alignment horizontal="center" vertical="center" wrapText="1"/>
    </xf>
    <xf numFmtId="0" fontId="0" fillId="0" borderId="0" xfId="0" applyNumberFormat="1" applyFont="1" applyAlignment="1">
      <alignment vertical="center" wrapText="1"/>
    </xf>
    <xf numFmtId="0" fontId="0" fillId="0" borderId="0" xfId="0" quotePrefix="1" applyNumberFormat="1" applyFont="1" applyAlignment="1">
      <alignment vertical="center" wrapText="1"/>
    </xf>
    <xf numFmtId="164" fontId="10" fillId="0" borderId="0" xfId="0" applyNumberFormat="1" applyFont="1" applyAlignment="1">
      <alignment horizontal="center" vertical="center" wrapText="1"/>
    </xf>
    <xf numFmtId="0" fontId="0" fillId="0" borderId="0" xfId="0" applyFill="1" applyBorder="1" applyAlignment="1">
      <alignment horizontal="center" vertical="center" wrapText="1"/>
    </xf>
    <xf numFmtId="0" fontId="3" fillId="0" borderId="0" xfId="0" applyFont="1" applyAlignment="1">
      <alignment vertical="center" wrapText="1"/>
    </xf>
    <xf numFmtId="0" fontId="0" fillId="0" borderId="10" xfId="0" applyBorder="1"/>
    <xf numFmtId="0" fontId="11" fillId="5" borderId="0" xfId="0" applyFont="1" applyFill="1" applyBorder="1" applyAlignment="1">
      <alignment horizontal="right" vertical="center" wrapText="1"/>
    </xf>
    <xf numFmtId="0" fontId="11" fillId="5" borderId="0" xfId="0" applyFont="1" applyFill="1" applyAlignment="1">
      <alignment vertical="center" wrapText="1"/>
    </xf>
    <xf numFmtId="0" fontId="6" fillId="0" borderId="1" xfId="0" applyFont="1" applyBorder="1" applyAlignment="1">
      <alignment horizontal="center" vertical="center" wrapText="1"/>
    </xf>
    <xf numFmtId="0" fontId="1" fillId="0" borderId="0" xfId="0" applyFont="1" applyAlignment="1">
      <alignment horizontal="right" vertical="center" wrapText="1"/>
    </xf>
    <xf numFmtId="0" fontId="0" fillId="0" borderId="0" xfId="0" applyFill="1" applyAlignment="1">
      <alignment horizontal="center" vertical="center" wrapText="1"/>
    </xf>
    <xf numFmtId="0" fontId="3" fillId="7" borderId="0" xfId="0" applyFont="1" applyFill="1" applyAlignment="1">
      <alignment vertical="center" wrapText="1"/>
    </xf>
    <xf numFmtId="0" fontId="3" fillId="7" borderId="0" xfId="0" applyFont="1" applyFill="1" applyAlignment="1">
      <alignment horizontal="center" vertical="center" wrapText="1"/>
    </xf>
    <xf numFmtId="0" fontId="13" fillId="7" borderId="0" xfId="0" applyFont="1" applyFill="1" applyAlignment="1">
      <alignment horizontal="center" vertical="center" wrapText="1"/>
    </xf>
    <xf numFmtId="0" fontId="13" fillId="7" borderId="0" xfId="0" applyFont="1" applyFill="1" applyAlignment="1">
      <alignment wrapText="1"/>
    </xf>
    <xf numFmtId="0" fontId="13" fillId="7" borderId="0" xfId="0" applyFont="1" applyFill="1" applyAlignment="1">
      <alignment horizontal="center" wrapText="1"/>
    </xf>
    <xf numFmtId="0" fontId="0" fillId="0" borderId="2" xfId="0" applyBorder="1" applyAlignment="1">
      <alignment vertical="center" wrapText="1"/>
    </xf>
    <xf numFmtId="0" fontId="0" fillId="0" borderId="2" xfId="0" applyBorder="1" applyAlignment="1">
      <alignment horizontal="center" vertical="center" wrapText="1"/>
    </xf>
    <xf numFmtId="0" fontId="13" fillId="7" borderId="2" xfId="0" applyNumberFormat="1" applyFont="1" applyFill="1" applyBorder="1" applyAlignment="1">
      <alignment horizontal="center" vertical="center" wrapText="1"/>
    </xf>
    <xf numFmtId="0" fontId="13" fillId="7" borderId="3" xfId="0" applyNumberFormat="1" applyFont="1" applyFill="1" applyBorder="1" applyAlignment="1">
      <alignment vertical="center" wrapText="1"/>
    </xf>
    <xf numFmtId="0" fontId="13" fillId="7" borderId="2" xfId="0" applyNumberFormat="1" applyFont="1" applyFill="1" applyBorder="1" applyAlignment="1">
      <alignment vertical="center" wrapText="1"/>
    </xf>
    <xf numFmtId="0" fontId="13" fillId="7" borderId="2" xfId="0" applyFont="1" applyFill="1" applyBorder="1" applyAlignment="1">
      <alignment vertical="top" wrapText="1"/>
    </xf>
    <xf numFmtId="0" fontId="13" fillId="7" borderId="2" xfId="0" applyFont="1" applyFill="1" applyBorder="1" applyAlignment="1">
      <alignment horizontal="center" vertical="top" wrapText="1"/>
    </xf>
    <xf numFmtId="0" fontId="1" fillId="2" borderId="0" xfId="0" applyFont="1" applyFill="1" applyBorder="1" applyAlignment="1">
      <alignment vertical="center" wrapText="1"/>
    </xf>
    <xf numFmtId="0" fontId="1" fillId="3" borderId="0" xfId="0" applyFont="1" applyFill="1" applyBorder="1" applyAlignment="1">
      <alignment vertical="center" wrapText="1"/>
    </xf>
    <xf numFmtId="0" fontId="13" fillId="7" borderId="0" xfId="0" applyFont="1" applyFill="1" applyAlignment="1">
      <alignment vertical="center" wrapText="1"/>
    </xf>
    <xf numFmtId="0" fontId="0" fillId="9" borderId="0" xfId="0" applyFill="1" applyAlignment="1">
      <alignment horizontal="center" vertical="center" wrapText="1"/>
    </xf>
    <xf numFmtId="0" fontId="0" fillId="9" borderId="0" xfId="0" applyFill="1" applyAlignment="1">
      <alignment vertical="center" wrapText="1"/>
    </xf>
    <xf numFmtId="0" fontId="0" fillId="9" borderId="0" xfId="0" applyFill="1" applyAlignment="1">
      <alignment vertical="center"/>
    </xf>
    <xf numFmtId="0" fontId="0" fillId="9" borderId="0" xfId="0" applyFill="1" applyAlignment="1">
      <alignment horizontal="center" vertical="center"/>
    </xf>
    <xf numFmtId="0" fontId="7" fillId="9" borderId="0" xfId="0" applyFont="1" applyFill="1" applyAlignment="1">
      <alignment horizontal="center" vertical="center"/>
    </xf>
    <xf numFmtId="0" fontId="12" fillId="9" borderId="0" xfId="0" applyFont="1" applyFill="1" applyAlignment="1">
      <alignment horizontal="center" vertical="center"/>
    </xf>
    <xf numFmtId="0" fontId="1" fillId="10" borderId="2" xfId="0" applyFont="1" applyFill="1" applyBorder="1" applyAlignment="1">
      <alignment horizontal="center" vertical="center"/>
    </xf>
    <xf numFmtId="0" fontId="1" fillId="11" borderId="2" xfId="0" applyFont="1" applyFill="1" applyBorder="1" applyAlignment="1">
      <alignment horizontal="center" vertical="center"/>
    </xf>
    <xf numFmtId="0" fontId="0" fillId="10" borderId="11" xfId="0" applyFill="1" applyBorder="1" applyAlignment="1">
      <alignment horizontal="center" vertical="center"/>
    </xf>
    <xf numFmtId="0" fontId="0" fillId="12" borderId="12" xfId="0" applyFill="1" applyBorder="1" applyAlignment="1">
      <alignment horizontal="center" vertical="center"/>
    </xf>
    <xf numFmtId="0" fontId="14" fillId="8" borderId="9" xfId="0" applyFont="1" applyFill="1" applyBorder="1" applyAlignment="1">
      <alignment horizontal="center" vertical="center" wrapText="1"/>
    </xf>
    <xf numFmtId="0" fontId="14" fillId="6" borderId="0"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9" fillId="4" borderId="6" xfId="0" applyFont="1" applyFill="1" applyBorder="1" applyAlignment="1" applyProtection="1">
      <alignment horizontal="left" vertical="center"/>
      <protection locked="0"/>
    </xf>
    <xf numFmtId="0" fontId="9" fillId="4" borderId="7" xfId="0" applyFont="1" applyFill="1" applyBorder="1" applyAlignment="1" applyProtection="1">
      <alignment horizontal="left" vertical="center"/>
      <protection locked="0"/>
    </xf>
    <xf numFmtId="0" fontId="9" fillId="4" borderId="8" xfId="0" applyFont="1" applyFill="1" applyBorder="1" applyAlignment="1" applyProtection="1">
      <alignment horizontal="left" vertical="center"/>
      <protection locked="0"/>
    </xf>
    <xf numFmtId="0" fontId="1" fillId="8" borderId="5" xfId="0" applyFont="1" applyFill="1" applyBorder="1" applyAlignment="1">
      <alignment horizontal="left" vertical="center" wrapText="1"/>
    </xf>
    <xf numFmtId="0" fontId="1" fillId="8" borderId="1" xfId="0" applyFont="1" applyFill="1" applyBorder="1" applyAlignment="1">
      <alignment horizontal="left" vertical="center" wrapText="1"/>
    </xf>
    <xf numFmtId="0" fontId="1" fillId="6" borderId="1" xfId="0" applyFont="1" applyFill="1" applyBorder="1" applyAlignment="1">
      <alignment horizontal="left" vertical="center" wrapText="1"/>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6" fillId="0" borderId="0" xfId="0" applyFont="1" applyBorder="1" applyAlignment="1">
      <alignment horizontal="center" vertical="center" wrapText="1"/>
    </xf>
  </cellXfs>
  <cellStyles count="1">
    <cellStyle name="Standard" xfId="0" builtinId="0"/>
  </cellStyles>
  <dxfs count="25">
    <dxf>
      <fill>
        <patternFill>
          <bgColor theme="9" tint="0.79998168889431442"/>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
      <fill>
        <patternFill>
          <bgColor rgb="FFFBB3B5"/>
        </patternFill>
      </fill>
    </dxf>
    <dxf>
      <fill>
        <patternFill>
          <bgColor rgb="FFF8696B"/>
        </patternFill>
      </fill>
    </dxf>
    <dxf>
      <font>
        <b/>
        <i val="0"/>
        <color theme="0"/>
      </font>
      <fill>
        <patternFill>
          <bgColor rgb="FFF41015"/>
        </patternFill>
      </fill>
    </dxf>
    <dxf>
      <fill>
        <patternFill>
          <bgColor rgb="FFBBE3C5"/>
        </patternFill>
      </fill>
    </dxf>
    <dxf>
      <fill>
        <patternFill>
          <bgColor rgb="FF63BE7B"/>
        </patternFill>
      </fill>
    </dxf>
    <dxf>
      <font>
        <b/>
        <i val="0"/>
        <color theme="0"/>
      </font>
      <fill>
        <patternFill>
          <bgColor rgb="FF2AA839"/>
        </patternFill>
      </fill>
    </dxf>
  </dxfs>
  <tableStyles count="0" defaultTableStyle="TableStyleMedium2" defaultPivotStyle="PivotStyleLight16"/>
  <colors>
    <mruColors>
      <color rgb="FFFFFFCC"/>
      <color rgb="FF2AA839"/>
      <color rgb="FF63BE7B"/>
      <color rgb="FFBBE3C5"/>
      <color rgb="FFF41015"/>
      <color rgb="FFF8696B"/>
      <color rgb="FFFBB3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1</xdr:row>
          <xdr:rowOff>104775</xdr:rowOff>
        </xdr:from>
        <xdr:to>
          <xdr:col>1</xdr:col>
          <xdr:colOff>1352550</xdr:colOff>
          <xdr:row>3</xdr:row>
          <xdr:rowOff>47625</xdr:rowOff>
        </xdr:to>
        <xdr:sp macro="" textlink="">
          <xdr:nvSpPr>
            <xdr:cNvPr id="10391" name="Button 151" hidden="1">
              <a:extLst>
                <a:ext uri="{63B3BB69-23CF-44E3-9099-C40C66FF867C}">
                  <a14:compatExt spid="_x0000_s10391"/>
                </a:ext>
                <a:ext uri="{FF2B5EF4-FFF2-40B4-BE49-F238E27FC236}">
                  <a16:creationId xmlns:a16="http://schemas.microsoft.com/office/drawing/2014/main" id="{00000000-0008-0000-0200-000097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1533525</xdr:colOff>
          <xdr:row>1</xdr:row>
          <xdr:rowOff>114300</xdr:rowOff>
        </xdr:from>
        <xdr:to>
          <xdr:col>1</xdr:col>
          <xdr:colOff>3295650</xdr:colOff>
          <xdr:row>3</xdr:row>
          <xdr:rowOff>57150</xdr:rowOff>
        </xdr:to>
        <xdr:sp macro="" textlink="">
          <xdr:nvSpPr>
            <xdr:cNvPr id="10437" name="Button 197" hidden="1">
              <a:extLst>
                <a:ext uri="{63B3BB69-23CF-44E3-9099-C40C66FF867C}">
                  <a14:compatExt spid="_x0000_s10437"/>
                </a:ext>
                <a:ext uri="{FF2B5EF4-FFF2-40B4-BE49-F238E27FC236}">
                  <a16:creationId xmlns:a16="http://schemas.microsoft.com/office/drawing/2014/main" id="{00000000-0008-0000-0200-0000C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Delete Last Requirement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X21"/>
  <sheetViews>
    <sheetView showZeros="0" zoomScaleNormal="100" workbookViewId="0">
      <pane xSplit="2" ySplit="2" topLeftCell="C3" activePane="bottomRight" state="frozen"/>
      <selection pane="topRight" activeCell="C1" sqref="C1"/>
      <selection pane="bottomLeft" activeCell="A3" sqref="A3"/>
      <selection pane="bottomRight" activeCell="H12" sqref="H12"/>
    </sheetView>
  </sheetViews>
  <sheetFormatPr baseColWidth="10" defaultColWidth="8.85546875" defaultRowHeight="15" x14ac:dyDescent="0.25"/>
  <cols>
    <col min="1" max="1" width="34.28515625" style="1" customWidth="1"/>
    <col min="2" max="2" width="7" style="10" customWidth="1"/>
    <col min="3" max="4" width="6.42578125" style="3" customWidth="1"/>
    <col min="5" max="6" width="6.42578125" style="17" customWidth="1"/>
    <col min="7" max="8" width="6.42578125" style="3" customWidth="1"/>
    <col min="9" max="10" width="6.42578125" style="17" customWidth="1"/>
    <col min="11" max="12" width="6.42578125" style="3" customWidth="1"/>
    <col min="13" max="18" width="6.42578125" style="17" customWidth="1"/>
    <col min="19" max="22" width="6.42578125" style="3" customWidth="1"/>
    <col min="25" max="16384" width="8.85546875" style="1"/>
  </cols>
  <sheetData>
    <row r="1" spans="1:22" x14ac:dyDescent="0.25">
      <c r="C1" s="67" t="s">
        <v>158</v>
      </c>
      <c r="D1" s="67"/>
      <c r="E1" s="67"/>
      <c r="F1" s="67"/>
      <c r="G1" s="67"/>
      <c r="H1" s="67"/>
      <c r="I1" s="67"/>
      <c r="J1" s="67"/>
      <c r="K1" s="67"/>
      <c r="L1" s="67"/>
      <c r="M1" s="67"/>
      <c r="N1" s="67"/>
      <c r="O1" s="67"/>
      <c r="P1" s="67"/>
      <c r="Q1" s="68" t="s">
        <v>156</v>
      </c>
      <c r="R1" s="68"/>
      <c r="S1" s="68"/>
      <c r="T1" s="68"/>
      <c r="U1" s="68"/>
      <c r="V1" s="68"/>
    </row>
    <row r="2" spans="1:22" ht="29.45" customHeight="1" thickBot="1" x14ac:dyDescent="0.3">
      <c r="A2" s="2" t="s">
        <v>9</v>
      </c>
      <c r="B2" s="14" t="s">
        <v>10</v>
      </c>
      <c r="C2" s="69" t="s">
        <v>2</v>
      </c>
      <c r="D2" s="69"/>
      <c r="E2" s="70" t="s">
        <v>0</v>
      </c>
      <c r="F2" s="69"/>
      <c r="G2" s="70" t="s">
        <v>1</v>
      </c>
      <c r="H2" s="69"/>
      <c r="I2" s="70" t="s">
        <v>5</v>
      </c>
      <c r="J2" s="69"/>
      <c r="K2" s="70" t="s">
        <v>4</v>
      </c>
      <c r="L2" s="69"/>
      <c r="M2" s="70" t="s">
        <v>3</v>
      </c>
      <c r="N2" s="69"/>
      <c r="O2" s="70" t="s">
        <v>6</v>
      </c>
      <c r="P2" s="69"/>
      <c r="Q2" s="71" t="s">
        <v>78</v>
      </c>
      <c r="R2" s="72"/>
      <c r="S2" s="71" t="s">
        <v>7</v>
      </c>
      <c r="T2" s="72"/>
      <c r="U2" s="71" t="s">
        <v>8</v>
      </c>
      <c r="V2" s="72"/>
    </row>
    <row r="3" spans="1:22" ht="15.75" thickTop="1" x14ac:dyDescent="0.25">
      <c r="A3" s="1" t="s">
        <v>52</v>
      </c>
      <c r="B3" s="3" t="s">
        <v>33</v>
      </c>
      <c r="C3" s="18">
        <f t="shared" ref="C3:C13" si="0">SUMIFS(GR_Degrees,GR_Affected_Stakeholders,$A3,GR_Dims_System_might_affect,C$2,GR_Degrees,"&lt;0")</f>
        <v>-2</v>
      </c>
      <c r="D3" s="19">
        <f t="shared" ref="D3:D13" si="1">SUMIFS(GR_Degrees,GR_Affected_Stakeholders,$A3,GR_Dims_System_might_affect,C$2,GR_Degrees,"&gt;0")</f>
        <v>2</v>
      </c>
      <c r="E3" s="18">
        <f t="shared" ref="E3:E13" si="2">SUMIFS(GR_Degrees,GR_Affected_Stakeholders,$A3,GR_Dims_System_might_affect,E$2,GR_Degrees,"&lt;0")</f>
        <v>-1</v>
      </c>
      <c r="F3" s="19">
        <f t="shared" ref="F3:F13" si="3">SUMIFS(GR_Degrees,GR_Affected_Stakeholders,$A3,GR_Dims_System_might_affect,E$2,GR_Degrees,"&gt;0")</f>
        <v>0</v>
      </c>
      <c r="G3" s="18">
        <f t="shared" ref="G3:G13" si="4">SUMIFS(GR_Degrees,GR_Affected_Stakeholders,$A3,GR_Dims_System_might_affect,G$2,GR_Degrees,"&lt;0")</f>
        <v>-2</v>
      </c>
      <c r="H3" s="19">
        <f t="shared" ref="H3:H13" si="5">SUMIFS(GR_Degrees,GR_Affected_Stakeholders,$A3,GR_Dims_System_might_affect,G$2,GR_Degrees,"&gt;0")</f>
        <v>2</v>
      </c>
      <c r="I3" s="18">
        <f t="shared" ref="I3:I13" si="6">SUMIFS(GR_Degrees,GR_Affected_Stakeholders,$A3,GR_Dims_System_might_affect,I$2,GR_Degrees,"&lt;0")</f>
        <v>0</v>
      </c>
      <c r="J3" s="19">
        <f t="shared" ref="J3:J13" si="7">SUMIFS(GR_Degrees,GR_Affected_Stakeholders,$A3,GR_Dims_System_might_affect,I$2,GR_Degrees,"&gt;0")</f>
        <v>2</v>
      </c>
      <c r="K3" s="18">
        <f t="shared" ref="K3:K13" si="8">SUMIFS(GR_Degrees,GR_Affected_Stakeholders,$A3,GR_Dims_System_might_affect,K$2,GR_Degrees,"&lt;0")</f>
        <v>-4</v>
      </c>
      <c r="L3" s="19">
        <f t="shared" ref="L3:L13" si="9">SUMIFS(GR_Degrees,GR_Affected_Stakeholders,$A3,GR_Dims_System_might_affect,K$2,GR_Degrees,"&gt;0")</f>
        <v>0</v>
      </c>
      <c r="M3" s="18">
        <f t="shared" ref="M3:O13" si="10">SUMIFS(GR_Degrees,GR_Affected_Stakeholders,$A3,GR_Dims_System_might_affect,M$2,GR_Degrees,"&lt;0")</f>
        <v>0</v>
      </c>
      <c r="N3" s="19">
        <f t="shared" ref="N3:N13" si="11">SUMIFS(GR_Degrees,GR_Affected_Stakeholders,$A3,GR_Dims_System_might_affect,M$2,GR_Degrees,"&gt;0")</f>
        <v>0</v>
      </c>
      <c r="O3" s="18">
        <f t="shared" si="10"/>
        <v>0</v>
      </c>
      <c r="P3" s="19">
        <f t="shared" ref="P3:P13" si="12">SUMIFS(GR_Degrees,GR_Affected_Stakeholders,$A3,GR_Dims_System_might_affect,O$2,GR_Degrees,"&gt;0")</f>
        <v>0</v>
      </c>
      <c r="Q3" s="18">
        <f t="shared" ref="Q3:Q13" si="13">SUMIFS(GR_Degrees,GR_Affected_Stakeholders,$A3,GR_Dims_System_might_affect,Q$2,GR_Degrees,"&lt;0")</f>
        <v>0</v>
      </c>
      <c r="R3" s="19">
        <f t="shared" ref="R3:R13" si="14">SUMIFS(GR_Degrees,GR_Affected_Stakeholders,$A3,GR_Dims_System_might_affect,Q$2,GR_Degrees,"&gt;0")</f>
        <v>0</v>
      </c>
      <c r="S3" s="18">
        <f t="shared" ref="S3:S13" si="15">SUMIFS(GR_Degrees,GR_Affected_Stakeholders,$A3,GR_Dims_System_might_affect,S$2,GR_Degrees,"&lt;0")</f>
        <v>0</v>
      </c>
      <c r="T3" s="19">
        <f t="shared" ref="T3:T13" si="16">SUMIFS(GR_Degrees,GR_Affected_Stakeholders,$A3,GR_Dims_System_might_affect,S$2,GR_Degrees,"&gt;0")</f>
        <v>0</v>
      </c>
      <c r="U3" s="18">
        <f t="shared" ref="U3:U13" si="17">SUMIFS(GR_Degrees,GR_Affected_Stakeholders,$A3,GR_Dims_System_might_affect,U$2,GR_Degrees,"&lt;0")</f>
        <v>0</v>
      </c>
      <c r="V3" s="19">
        <f t="shared" ref="V3:V13" si="18">SUMIFS(GR_Degrees,GR_Affected_Stakeholders,$A3,GR_Dims_System_might_affect,U$2,GR_Degrees,"&gt;0")</f>
        <v>0</v>
      </c>
    </row>
    <row r="4" spans="1:22" x14ac:dyDescent="0.25">
      <c r="A4" s="1" t="s">
        <v>57</v>
      </c>
      <c r="B4" s="3" t="s">
        <v>33</v>
      </c>
      <c r="C4" s="20">
        <f t="shared" si="0"/>
        <v>0</v>
      </c>
      <c r="D4" s="19">
        <f t="shared" si="1"/>
        <v>0</v>
      </c>
      <c r="E4" s="20">
        <f t="shared" si="2"/>
        <v>0</v>
      </c>
      <c r="F4" s="19">
        <f t="shared" si="3"/>
        <v>0</v>
      </c>
      <c r="G4" s="20">
        <f t="shared" si="4"/>
        <v>-2</v>
      </c>
      <c r="H4" s="19">
        <f t="shared" si="5"/>
        <v>1</v>
      </c>
      <c r="I4" s="20">
        <f t="shared" si="6"/>
        <v>0</v>
      </c>
      <c r="J4" s="19">
        <f t="shared" si="7"/>
        <v>0</v>
      </c>
      <c r="K4" s="20">
        <f t="shared" si="8"/>
        <v>-3</v>
      </c>
      <c r="L4" s="19">
        <f t="shared" si="9"/>
        <v>0</v>
      </c>
      <c r="M4" s="20">
        <f t="shared" si="10"/>
        <v>-1</v>
      </c>
      <c r="N4" s="19">
        <f t="shared" si="11"/>
        <v>0</v>
      </c>
      <c r="O4" s="20">
        <f t="shared" si="10"/>
        <v>-1</v>
      </c>
      <c r="P4" s="19">
        <f t="shared" si="12"/>
        <v>2</v>
      </c>
      <c r="Q4" s="20">
        <f t="shared" si="13"/>
        <v>-3</v>
      </c>
      <c r="R4" s="19">
        <f t="shared" si="14"/>
        <v>0</v>
      </c>
      <c r="S4" s="20">
        <f t="shared" si="15"/>
        <v>0</v>
      </c>
      <c r="T4" s="19">
        <f t="shared" si="16"/>
        <v>0</v>
      </c>
      <c r="U4" s="20">
        <f t="shared" si="17"/>
        <v>0</v>
      </c>
      <c r="V4" s="19">
        <f t="shared" si="18"/>
        <v>0</v>
      </c>
    </row>
    <row r="5" spans="1:22" x14ac:dyDescent="0.25">
      <c r="A5" s="1" t="s">
        <v>169</v>
      </c>
      <c r="B5" s="3" t="s">
        <v>33</v>
      </c>
      <c r="C5" s="20">
        <f t="shared" si="0"/>
        <v>0</v>
      </c>
      <c r="D5" s="19">
        <f t="shared" ref="D5:D6" si="19">SUMIFS(GR_Degrees,GR_Affected_Stakeholders,$A5,GR_Dims_System_might_affect,C$2,GR_Degrees,"&gt;0")</f>
        <v>1</v>
      </c>
      <c r="E5" s="20">
        <f t="shared" si="2"/>
        <v>0</v>
      </c>
      <c r="F5" s="19">
        <f t="shared" ref="F5:F6" si="20">SUMIFS(GR_Degrees,GR_Affected_Stakeholders,$A5,GR_Dims_System_might_affect,E$2,GR_Degrees,"&gt;0")</f>
        <v>1</v>
      </c>
      <c r="G5" s="20">
        <f t="shared" si="4"/>
        <v>0</v>
      </c>
      <c r="H5" s="19">
        <f t="shared" ref="H5:H6" si="21">SUMIFS(GR_Degrees,GR_Affected_Stakeholders,$A5,GR_Dims_System_might_affect,G$2,GR_Degrees,"&gt;0")</f>
        <v>0</v>
      </c>
      <c r="I5" s="20">
        <f t="shared" si="6"/>
        <v>0</v>
      </c>
      <c r="J5" s="19">
        <f t="shared" ref="J5:J6" si="22">SUMIFS(GR_Degrees,GR_Affected_Stakeholders,$A5,GR_Dims_System_might_affect,I$2,GR_Degrees,"&gt;0")</f>
        <v>0</v>
      </c>
      <c r="K5" s="20">
        <f t="shared" si="8"/>
        <v>-3</v>
      </c>
      <c r="L5" s="19">
        <f t="shared" ref="L5:L6" si="23">SUMIFS(GR_Degrees,GR_Affected_Stakeholders,$A5,GR_Dims_System_might_affect,K$2,GR_Degrees,"&gt;0")</f>
        <v>0</v>
      </c>
      <c r="M5" s="20">
        <f t="shared" si="10"/>
        <v>0</v>
      </c>
      <c r="N5" s="19">
        <f t="shared" ref="N5:N6" si="24">SUMIFS(GR_Degrees,GR_Affected_Stakeholders,$A5,GR_Dims_System_might_affect,M$2,GR_Degrees,"&gt;0")</f>
        <v>0</v>
      </c>
      <c r="O5" s="20">
        <f t="shared" si="10"/>
        <v>0</v>
      </c>
      <c r="P5" s="19">
        <f t="shared" ref="P5:P6" si="25">SUMIFS(GR_Degrees,GR_Affected_Stakeholders,$A5,GR_Dims_System_might_affect,O$2,GR_Degrees,"&gt;0")</f>
        <v>0</v>
      </c>
      <c r="Q5" s="20">
        <f t="shared" si="13"/>
        <v>-3</v>
      </c>
      <c r="R5" s="19">
        <f t="shared" si="14"/>
        <v>1</v>
      </c>
      <c r="S5" s="20">
        <f t="shared" si="15"/>
        <v>0</v>
      </c>
      <c r="T5" s="19">
        <f t="shared" ref="T5:T6" si="26">SUMIFS(GR_Degrees,GR_Affected_Stakeholders,$A5,GR_Dims_System_might_affect,S$2,GR_Degrees,"&gt;0")</f>
        <v>0</v>
      </c>
      <c r="U5" s="20">
        <f t="shared" si="17"/>
        <v>0</v>
      </c>
      <c r="V5" s="19">
        <f t="shared" ref="V5:V6" si="27">SUMIFS(GR_Degrees,GR_Affected_Stakeholders,$A5,GR_Dims_System_might_affect,U$2,GR_Degrees,"&gt;0")</f>
        <v>0</v>
      </c>
    </row>
    <row r="6" spans="1:22" x14ac:dyDescent="0.25">
      <c r="A6" s="1" t="s">
        <v>168</v>
      </c>
      <c r="B6" s="3" t="s">
        <v>34</v>
      </c>
      <c r="C6" s="20">
        <f t="shared" si="0"/>
        <v>0</v>
      </c>
      <c r="D6" s="19">
        <f t="shared" si="19"/>
        <v>0</v>
      </c>
      <c r="E6" s="20">
        <f t="shared" si="2"/>
        <v>0</v>
      </c>
      <c r="F6" s="19">
        <f t="shared" si="20"/>
        <v>0</v>
      </c>
      <c r="G6" s="20">
        <f t="shared" si="4"/>
        <v>-2</v>
      </c>
      <c r="H6" s="19">
        <f t="shared" si="21"/>
        <v>0</v>
      </c>
      <c r="I6" s="20">
        <f t="shared" si="6"/>
        <v>0</v>
      </c>
      <c r="J6" s="19">
        <f t="shared" si="22"/>
        <v>0</v>
      </c>
      <c r="K6" s="20">
        <f t="shared" si="8"/>
        <v>-6</v>
      </c>
      <c r="L6" s="19">
        <f t="shared" si="23"/>
        <v>0</v>
      </c>
      <c r="M6" s="20">
        <f t="shared" si="10"/>
        <v>0</v>
      </c>
      <c r="N6" s="19">
        <f t="shared" si="24"/>
        <v>0</v>
      </c>
      <c r="O6" s="20">
        <f t="shared" si="10"/>
        <v>0</v>
      </c>
      <c r="P6" s="19">
        <f t="shared" si="25"/>
        <v>1</v>
      </c>
      <c r="Q6" s="20">
        <f t="shared" si="13"/>
        <v>-2</v>
      </c>
      <c r="R6" s="19">
        <f t="shared" si="14"/>
        <v>0</v>
      </c>
      <c r="S6" s="20">
        <f t="shared" si="15"/>
        <v>-2</v>
      </c>
      <c r="T6" s="19">
        <f t="shared" si="26"/>
        <v>1</v>
      </c>
      <c r="U6" s="20">
        <f t="shared" si="17"/>
        <v>0</v>
      </c>
      <c r="V6" s="19">
        <f t="shared" si="27"/>
        <v>0</v>
      </c>
    </row>
    <row r="7" spans="1:22" x14ac:dyDescent="0.25">
      <c r="A7" s="1" t="s">
        <v>38</v>
      </c>
      <c r="B7" s="3" t="s">
        <v>33</v>
      </c>
      <c r="C7" s="20">
        <f t="shared" si="0"/>
        <v>0</v>
      </c>
      <c r="D7" s="19">
        <f t="shared" si="1"/>
        <v>0</v>
      </c>
      <c r="E7" s="20">
        <f t="shared" si="2"/>
        <v>0</v>
      </c>
      <c r="F7" s="19">
        <f t="shared" si="3"/>
        <v>0</v>
      </c>
      <c r="G7" s="20">
        <f t="shared" si="4"/>
        <v>0</v>
      </c>
      <c r="H7" s="19">
        <f t="shared" si="5"/>
        <v>0</v>
      </c>
      <c r="I7" s="20">
        <f t="shared" si="6"/>
        <v>0</v>
      </c>
      <c r="J7" s="19">
        <f t="shared" si="7"/>
        <v>0</v>
      </c>
      <c r="K7" s="20">
        <f t="shared" si="8"/>
        <v>0</v>
      </c>
      <c r="L7" s="19">
        <f t="shared" si="9"/>
        <v>0</v>
      </c>
      <c r="M7" s="20">
        <f t="shared" si="10"/>
        <v>0</v>
      </c>
      <c r="N7" s="19">
        <f t="shared" si="11"/>
        <v>0</v>
      </c>
      <c r="O7" s="20">
        <f t="shared" si="10"/>
        <v>0</v>
      </c>
      <c r="P7" s="19">
        <f t="shared" si="12"/>
        <v>1</v>
      </c>
      <c r="Q7" s="20">
        <f t="shared" si="13"/>
        <v>0</v>
      </c>
      <c r="R7" s="19">
        <f t="shared" si="14"/>
        <v>1</v>
      </c>
      <c r="S7" s="20">
        <f t="shared" si="15"/>
        <v>0</v>
      </c>
      <c r="T7" s="19">
        <f t="shared" si="16"/>
        <v>0</v>
      </c>
      <c r="U7" s="20">
        <f t="shared" si="17"/>
        <v>0</v>
      </c>
      <c r="V7" s="19">
        <f t="shared" si="18"/>
        <v>0</v>
      </c>
    </row>
    <row r="8" spans="1:22" x14ac:dyDescent="0.25">
      <c r="A8" s="1" t="s">
        <v>76</v>
      </c>
      <c r="B8" s="3" t="s">
        <v>33</v>
      </c>
      <c r="C8" s="20">
        <f t="shared" si="0"/>
        <v>0</v>
      </c>
      <c r="D8" s="19">
        <f t="shared" si="1"/>
        <v>0</v>
      </c>
      <c r="E8" s="20">
        <f t="shared" si="2"/>
        <v>0</v>
      </c>
      <c r="F8" s="19">
        <f t="shared" si="3"/>
        <v>0</v>
      </c>
      <c r="G8" s="20">
        <f t="shared" si="4"/>
        <v>0</v>
      </c>
      <c r="H8" s="19">
        <f t="shared" si="5"/>
        <v>0</v>
      </c>
      <c r="I8" s="20">
        <f t="shared" si="6"/>
        <v>0</v>
      </c>
      <c r="J8" s="19">
        <f t="shared" si="7"/>
        <v>0</v>
      </c>
      <c r="K8" s="20">
        <f t="shared" si="8"/>
        <v>-5</v>
      </c>
      <c r="L8" s="19">
        <f t="shared" si="9"/>
        <v>0</v>
      </c>
      <c r="M8" s="20">
        <f t="shared" si="10"/>
        <v>0</v>
      </c>
      <c r="N8" s="19">
        <f t="shared" si="11"/>
        <v>0</v>
      </c>
      <c r="O8" s="20">
        <f t="shared" si="10"/>
        <v>0</v>
      </c>
      <c r="P8" s="19">
        <f t="shared" si="12"/>
        <v>1</v>
      </c>
      <c r="Q8" s="20">
        <f t="shared" si="13"/>
        <v>-1</v>
      </c>
      <c r="R8" s="19">
        <f t="shared" si="14"/>
        <v>1</v>
      </c>
      <c r="S8" s="20">
        <f t="shared" si="15"/>
        <v>0</v>
      </c>
      <c r="T8" s="19">
        <f t="shared" si="16"/>
        <v>0</v>
      </c>
      <c r="U8" s="20">
        <f t="shared" si="17"/>
        <v>0</v>
      </c>
      <c r="V8" s="19">
        <f t="shared" si="18"/>
        <v>0</v>
      </c>
    </row>
    <row r="9" spans="1:22" x14ac:dyDescent="0.25">
      <c r="A9" s="1" t="s">
        <v>39</v>
      </c>
      <c r="B9" s="3" t="s">
        <v>34</v>
      </c>
      <c r="C9" s="20">
        <f t="shared" si="0"/>
        <v>0</v>
      </c>
      <c r="D9" s="19">
        <f t="shared" si="1"/>
        <v>0</v>
      </c>
      <c r="E9" s="20">
        <f t="shared" si="2"/>
        <v>0</v>
      </c>
      <c r="F9" s="19">
        <f t="shared" si="3"/>
        <v>0</v>
      </c>
      <c r="G9" s="20">
        <f t="shared" si="4"/>
        <v>0</v>
      </c>
      <c r="H9" s="19">
        <f t="shared" si="5"/>
        <v>0</v>
      </c>
      <c r="I9" s="20">
        <f t="shared" si="6"/>
        <v>0</v>
      </c>
      <c r="J9" s="19">
        <f t="shared" si="7"/>
        <v>0</v>
      </c>
      <c r="K9" s="20">
        <f t="shared" si="8"/>
        <v>-2</v>
      </c>
      <c r="L9" s="19">
        <f t="shared" si="9"/>
        <v>0</v>
      </c>
      <c r="M9" s="20">
        <f t="shared" si="10"/>
        <v>0</v>
      </c>
      <c r="N9" s="19">
        <f t="shared" si="11"/>
        <v>0</v>
      </c>
      <c r="O9" s="20">
        <f t="shared" si="10"/>
        <v>0</v>
      </c>
      <c r="P9" s="19">
        <f t="shared" si="12"/>
        <v>0</v>
      </c>
      <c r="Q9" s="20">
        <f t="shared" si="13"/>
        <v>-2</v>
      </c>
      <c r="R9" s="19">
        <f t="shared" si="14"/>
        <v>0</v>
      </c>
      <c r="S9" s="20">
        <f t="shared" si="15"/>
        <v>0</v>
      </c>
      <c r="T9" s="19">
        <f t="shared" si="16"/>
        <v>0</v>
      </c>
      <c r="U9" s="20">
        <f t="shared" si="17"/>
        <v>0</v>
      </c>
      <c r="V9" s="19">
        <f t="shared" si="18"/>
        <v>0</v>
      </c>
    </row>
    <row r="10" spans="1:22" x14ac:dyDescent="0.25">
      <c r="A10" s="1" t="s">
        <v>40</v>
      </c>
      <c r="B10" s="3" t="s">
        <v>34</v>
      </c>
      <c r="C10" s="20">
        <f t="shared" si="0"/>
        <v>0</v>
      </c>
      <c r="D10" s="19">
        <f t="shared" si="1"/>
        <v>0</v>
      </c>
      <c r="E10" s="20">
        <f t="shared" si="2"/>
        <v>0</v>
      </c>
      <c r="F10" s="19">
        <f t="shared" si="3"/>
        <v>0</v>
      </c>
      <c r="G10" s="20">
        <f t="shared" si="4"/>
        <v>0</v>
      </c>
      <c r="H10" s="19">
        <f t="shared" si="5"/>
        <v>0</v>
      </c>
      <c r="I10" s="20">
        <f t="shared" si="6"/>
        <v>0</v>
      </c>
      <c r="J10" s="19">
        <f t="shared" si="7"/>
        <v>0</v>
      </c>
      <c r="K10" s="20">
        <f t="shared" si="8"/>
        <v>-1</v>
      </c>
      <c r="L10" s="19">
        <f t="shared" si="9"/>
        <v>0</v>
      </c>
      <c r="M10" s="20">
        <f t="shared" si="10"/>
        <v>-1</v>
      </c>
      <c r="N10" s="19">
        <f t="shared" si="11"/>
        <v>0</v>
      </c>
      <c r="O10" s="20">
        <f t="shared" si="10"/>
        <v>0</v>
      </c>
      <c r="P10" s="19">
        <f t="shared" si="12"/>
        <v>1</v>
      </c>
      <c r="Q10" s="20">
        <f t="shared" si="13"/>
        <v>-2</v>
      </c>
      <c r="R10" s="19">
        <f t="shared" si="14"/>
        <v>0</v>
      </c>
      <c r="S10" s="20">
        <f t="shared" si="15"/>
        <v>0</v>
      </c>
      <c r="T10" s="19">
        <f t="shared" si="16"/>
        <v>1</v>
      </c>
      <c r="U10" s="20">
        <f t="shared" si="17"/>
        <v>0</v>
      </c>
      <c r="V10" s="19">
        <f t="shared" si="18"/>
        <v>1</v>
      </c>
    </row>
    <row r="11" spans="1:22" x14ac:dyDescent="0.25">
      <c r="A11" s="1" t="s">
        <v>41</v>
      </c>
      <c r="B11" s="3" t="s">
        <v>34</v>
      </c>
      <c r="C11" s="20">
        <f t="shared" si="0"/>
        <v>0</v>
      </c>
      <c r="D11" s="19">
        <f t="shared" si="1"/>
        <v>0</v>
      </c>
      <c r="E11" s="20">
        <f t="shared" si="2"/>
        <v>0</v>
      </c>
      <c r="F11" s="19">
        <f t="shared" si="3"/>
        <v>0</v>
      </c>
      <c r="G11" s="20">
        <f t="shared" si="4"/>
        <v>0</v>
      </c>
      <c r="H11" s="19">
        <f t="shared" si="5"/>
        <v>0</v>
      </c>
      <c r="I11" s="20">
        <f t="shared" si="6"/>
        <v>0</v>
      </c>
      <c r="J11" s="19">
        <f t="shared" si="7"/>
        <v>0</v>
      </c>
      <c r="K11" s="20">
        <f t="shared" si="8"/>
        <v>-2</v>
      </c>
      <c r="L11" s="19">
        <f t="shared" si="9"/>
        <v>0</v>
      </c>
      <c r="M11" s="20">
        <f t="shared" si="10"/>
        <v>0</v>
      </c>
      <c r="N11" s="19">
        <f t="shared" si="11"/>
        <v>0</v>
      </c>
      <c r="O11" s="20">
        <f t="shared" si="10"/>
        <v>0</v>
      </c>
      <c r="P11" s="19">
        <f t="shared" si="12"/>
        <v>0</v>
      </c>
      <c r="Q11" s="20">
        <f t="shared" si="13"/>
        <v>-2</v>
      </c>
      <c r="R11" s="19">
        <f t="shared" si="14"/>
        <v>0</v>
      </c>
      <c r="S11" s="20">
        <f t="shared" si="15"/>
        <v>-2</v>
      </c>
      <c r="T11" s="19">
        <f t="shared" si="16"/>
        <v>2</v>
      </c>
      <c r="U11" s="20">
        <f t="shared" si="17"/>
        <v>0</v>
      </c>
      <c r="V11" s="19">
        <f t="shared" si="18"/>
        <v>2</v>
      </c>
    </row>
    <row r="12" spans="1:22" x14ac:dyDescent="0.25">
      <c r="A12" s="1" t="s">
        <v>107</v>
      </c>
      <c r="B12" s="3" t="s">
        <v>34</v>
      </c>
      <c r="C12" s="20">
        <f t="shared" si="0"/>
        <v>0</v>
      </c>
      <c r="D12" s="19">
        <f t="shared" si="1"/>
        <v>0</v>
      </c>
      <c r="E12" s="20">
        <f t="shared" si="2"/>
        <v>0</v>
      </c>
      <c r="F12" s="19">
        <f t="shared" si="3"/>
        <v>0</v>
      </c>
      <c r="G12" s="20">
        <f t="shared" si="4"/>
        <v>0</v>
      </c>
      <c r="H12" s="19">
        <f t="shared" si="5"/>
        <v>0</v>
      </c>
      <c r="I12" s="20">
        <f t="shared" si="6"/>
        <v>0</v>
      </c>
      <c r="J12" s="19">
        <f t="shared" si="7"/>
        <v>0</v>
      </c>
      <c r="K12" s="20">
        <f t="shared" si="8"/>
        <v>-2</v>
      </c>
      <c r="L12" s="19">
        <f t="shared" si="9"/>
        <v>0</v>
      </c>
      <c r="M12" s="20">
        <f t="shared" si="10"/>
        <v>0</v>
      </c>
      <c r="N12" s="19">
        <f t="shared" si="11"/>
        <v>0</v>
      </c>
      <c r="O12" s="20">
        <f t="shared" si="10"/>
        <v>0</v>
      </c>
      <c r="P12" s="19">
        <f t="shared" si="12"/>
        <v>0</v>
      </c>
      <c r="Q12" s="20">
        <f t="shared" si="13"/>
        <v>-4</v>
      </c>
      <c r="R12" s="19">
        <f t="shared" si="14"/>
        <v>0</v>
      </c>
      <c r="S12" s="20">
        <f t="shared" si="15"/>
        <v>-1</v>
      </c>
      <c r="T12" s="19">
        <f t="shared" si="16"/>
        <v>1</v>
      </c>
      <c r="U12" s="20">
        <f t="shared" si="17"/>
        <v>0</v>
      </c>
      <c r="V12" s="19">
        <f t="shared" si="18"/>
        <v>2</v>
      </c>
    </row>
    <row r="13" spans="1:22" x14ac:dyDescent="0.25">
      <c r="A13" s="1" t="s">
        <v>42</v>
      </c>
      <c r="B13" s="3" t="s">
        <v>14</v>
      </c>
      <c r="C13" s="20">
        <f t="shared" si="0"/>
        <v>0</v>
      </c>
      <c r="D13" s="19">
        <f t="shared" si="1"/>
        <v>0</v>
      </c>
      <c r="E13" s="20">
        <f t="shared" si="2"/>
        <v>0</v>
      </c>
      <c r="F13" s="19">
        <f t="shared" si="3"/>
        <v>0</v>
      </c>
      <c r="G13" s="20">
        <f t="shared" si="4"/>
        <v>0</v>
      </c>
      <c r="H13" s="19">
        <f t="shared" si="5"/>
        <v>1</v>
      </c>
      <c r="I13" s="20">
        <f t="shared" si="6"/>
        <v>0</v>
      </c>
      <c r="J13" s="19">
        <f t="shared" si="7"/>
        <v>1</v>
      </c>
      <c r="K13" s="20">
        <f t="shared" si="8"/>
        <v>-1</v>
      </c>
      <c r="L13" s="19">
        <f t="shared" si="9"/>
        <v>0</v>
      </c>
      <c r="M13" s="20">
        <f t="shared" si="10"/>
        <v>0</v>
      </c>
      <c r="N13" s="19">
        <f t="shared" si="11"/>
        <v>0</v>
      </c>
      <c r="O13" s="20">
        <f t="shared" si="10"/>
        <v>0</v>
      </c>
      <c r="P13" s="19">
        <f t="shared" si="12"/>
        <v>0</v>
      </c>
      <c r="Q13" s="20">
        <f t="shared" si="13"/>
        <v>0</v>
      </c>
      <c r="R13" s="19">
        <f t="shared" si="14"/>
        <v>0</v>
      </c>
      <c r="S13" s="20">
        <f t="shared" si="15"/>
        <v>0</v>
      </c>
      <c r="T13" s="19">
        <f t="shared" si="16"/>
        <v>0</v>
      </c>
      <c r="U13" s="20">
        <f t="shared" si="17"/>
        <v>0</v>
      </c>
      <c r="V13" s="19">
        <f t="shared" si="18"/>
        <v>0</v>
      </c>
    </row>
    <row r="14" spans="1:22" x14ac:dyDescent="0.25">
      <c r="B14" s="3"/>
      <c r="C14" s="13"/>
      <c r="D14" s="13"/>
      <c r="E14" s="13"/>
      <c r="F14" s="13"/>
      <c r="G14" s="13"/>
      <c r="H14" s="13"/>
      <c r="I14" s="13"/>
      <c r="J14" s="13"/>
      <c r="K14" s="13"/>
      <c r="L14" s="13"/>
      <c r="M14" s="13"/>
      <c r="N14" s="13"/>
      <c r="O14" s="13"/>
      <c r="P14" s="13"/>
      <c r="Q14" s="13"/>
      <c r="R14" s="13"/>
      <c r="S14" s="13"/>
      <c r="T14" s="13"/>
      <c r="U14" s="13"/>
      <c r="V14" s="13"/>
    </row>
    <row r="15" spans="1:22" x14ac:dyDescent="0.25">
      <c r="B15" s="3"/>
      <c r="C15" s="13"/>
      <c r="D15" s="13"/>
      <c r="E15" s="13"/>
      <c r="F15" s="13"/>
      <c r="G15" s="13"/>
      <c r="H15" s="13"/>
      <c r="I15" s="13"/>
      <c r="J15" s="13"/>
      <c r="K15" s="13"/>
      <c r="L15" s="13"/>
      <c r="M15" s="13"/>
      <c r="N15" s="13"/>
      <c r="O15" s="13"/>
      <c r="P15" s="13"/>
      <c r="Q15" s="13"/>
      <c r="R15" s="13"/>
      <c r="S15" s="13"/>
      <c r="T15" s="13"/>
      <c r="U15" s="13"/>
      <c r="V15" s="13"/>
    </row>
    <row r="16" spans="1:22" x14ac:dyDescent="0.25">
      <c r="B16" s="3"/>
      <c r="C16" s="13"/>
      <c r="D16" s="13"/>
      <c r="E16" s="13"/>
      <c r="F16" s="13"/>
      <c r="G16" s="13"/>
      <c r="H16" s="13"/>
      <c r="I16" s="13"/>
      <c r="J16" s="13"/>
      <c r="K16" s="13"/>
      <c r="L16" s="13"/>
      <c r="M16" s="13"/>
      <c r="N16" s="13"/>
      <c r="O16" s="13"/>
      <c r="P16" s="13"/>
      <c r="Q16" s="13"/>
      <c r="R16" s="13"/>
      <c r="S16" s="13"/>
      <c r="T16" s="13"/>
      <c r="U16" s="13"/>
      <c r="V16" s="13"/>
    </row>
    <row r="17" spans="2:22" x14ac:dyDescent="0.25">
      <c r="B17" s="3"/>
      <c r="C17" s="13"/>
      <c r="D17" s="13"/>
      <c r="E17" s="13"/>
      <c r="F17" s="13"/>
      <c r="G17" s="13"/>
      <c r="H17" s="13"/>
      <c r="I17" s="13"/>
      <c r="J17" s="13"/>
      <c r="K17" s="13"/>
      <c r="L17" s="13"/>
      <c r="M17" s="13"/>
      <c r="N17" s="13"/>
      <c r="O17" s="13"/>
      <c r="P17" s="13"/>
      <c r="Q17" s="13"/>
      <c r="R17" s="13"/>
      <c r="S17" s="13"/>
      <c r="T17" s="13"/>
      <c r="U17" s="13"/>
      <c r="V17" s="13"/>
    </row>
    <row r="18" spans="2:22" x14ac:dyDescent="0.25">
      <c r="B18" s="3"/>
      <c r="C18" s="13"/>
      <c r="D18" s="13"/>
      <c r="E18" s="13"/>
      <c r="F18" s="13"/>
      <c r="G18" s="13"/>
      <c r="H18" s="13"/>
      <c r="I18" s="13"/>
      <c r="J18" s="13"/>
      <c r="K18" s="13"/>
      <c r="L18" s="13"/>
      <c r="M18" s="13"/>
      <c r="N18" s="13"/>
      <c r="O18" s="13"/>
      <c r="P18" s="13"/>
      <c r="Q18" s="13"/>
      <c r="R18" s="13"/>
      <c r="S18" s="13"/>
      <c r="T18" s="13"/>
      <c r="U18" s="13"/>
      <c r="V18" s="13"/>
    </row>
    <row r="19" spans="2:22" x14ac:dyDescent="0.25">
      <c r="B19" s="3"/>
      <c r="C19" s="13"/>
      <c r="D19" s="13"/>
      <c r="E19" s="13"/>
      <c r="F19" s="13"/>
      <c r="G19" s="13"/>
      <c r="H19" s="13"/>
      <c r="I19" s="13"/>
      <c r="J19" s="13"/>
      <c r="K19" s="13"/>
      <c r="L19" s="13"/>
      <c r="M19" s="13"/>
      <c r="N19" s="13"/>
      <c r="O19" s="13"/>
      <c r="P19" s="13"/>
      <c r="Q19" s="13"/>
      <c r="R19" s="13"/>
      <c r="S19" s="13"/>
      <c r="T19" s="13"/>
      <c r="U19" s="13"/>
      <c r="V19" s="13"/>
    </row>
    <row r="20" spans="2:22" x14ac:dyDescent="0.25">
      <c r="B20" s="3"/>
    </row>
    <row r="21" spans="2:22" x14ac:dyDescent="0.25">
      <c r="B21" s="3"/>
    </row>
  </sheetData>
  <sheetProtection sheet="1" objects="1" scenarios="1" formatColumns="0" formatRows="0"/>
  <mergeCells count="12">
    <mergeCell ref="C1:P1"/>
    <mergeCell ref="Q1:V1"/>
    <mergeCell ref="C2:D2"/>
    <mergeCell ref="E2:F2"/>
    <mergeCell ref="G2:H2"/>
    <mergeCell ref="I2:J2"/>
    <mergeCell ref="K2:L2"/>
    <mergeCell ref="M2:N2"/>
    <mergeCell ref="Q2:R2"/>
    <mergeCell ref="U2:V2"/>
    <mergeCell ref="S2:T2"/>
    <mergeCell ref="O2:P2"/>
  </mergeCells>
  <conditionalFormatting sqref="C3:N4 Q3:V4 Q7:V13 C7:N13">
    <cfRule type="cellIs" dxfId="24" priority="19" operator="greaterThan">
      <formula>2</formula>
    </cfRule>
    <cfRule type="cellIs" dxfId="23" priority="20" operator="equal">
      <formula>2</formula>
    </cfRule>
    <cfRule type="cellIs" dxfId="22" priority="21" operator="equal">
      <formula>1</formula>
    </cfRule>
    <cfRule type="cellIs" dxfId="21" priority="22" operator="lessThan">
      <formula>-2</formula>
    </cfRule>
    <cfRule type="cellIs" dxfId="20" priority="23" operator="equal">
      <formula>-2</formula>
    </cfRule>
    <cfRule type="cellIs" dxfId="19" priority="24" operator="equal">
      <formula>-1</formula>
    </cfRule>
  </conditionalFormatting>
  <conditionalFormatting sqref="O3:P4 O7:P13">
    <cfRule type="cellIs" dxfId="18" priority="13" operator="greaterThan">
      <formula>2</formula>
    </cfRule>
    <cfRule type="cellIs" dxfId="17" priority="14" operator="equal">
      <formula>2</formula>
    </cfRule>
    <cfRule type="cellIs" dxfId="16" priority="15" operator="equal">
      <formula>1</formula>
    </cfRule>
    <cfRule type="cellIs" dxfId="15" priority="16" operator="lessThan">
      <formula>-2</formula>
    </cfRule>
    <cfRule type="cellIs" dxfId="14" priority="17" operator="equal">
      <formula>-2</formula>
    </cfRule>
    <cfRule type="cellIs" dxfId="13" priority="18" operator="equal">
      <formula>-1</formula>
    </cfRule>
  </conditionalFormatting>
  <conditionalFormatting sqref="C5:N6 Q5:V6">
    <cfRule type="cellIs" dxfId="12" priority="7" operator="greaterThan">
      <formula>2</formula>
    </cfRule>
    <cfRule type="cellIs" dxfId="11" priority="8" operator="equal">
      <formula>2</formula>
    </cfRule>
    <cfRule type="cellIs" dxfId="10" priority="9" operator="equal">
      <formula>1</formula>
    </cfRule>
    <cfRule type="cellIs" dxfId="9" priority="10" operator="lessThan">
      <formula>-2</formula>
    </cfRule>
    <cfRule type="cellIs" dxfId="8" priority="11" operator="equal">
      <formula>-2</formula>
    </cfRule>
    <cfRule type="cellIs" dxfId="7" priority="12" operator="equal">
      <formula>-1</formula>
    </cfRule>
  </conditionalFormatting>
  <conditionalFormatting sqref="O5:P6">
    <cfRule type="cellIs" dxfId="6" priority="1" operator="greaterThan">
      <formula>2</formula>
    </cfRule>
    <cfRule type="cellIs" dxfId="5" priority="2" operator="equal">
      <formula>2</formula>
    </cfRule>
    <cfRule type="cellIs" dxfId="4" priority="3" operator="equal">
      <formula>1</formula>
    </cfRule>
    <cfRule type="cellIs" dxfId="3" priority="4" operator="lessThan">
      <formula>-2</formula>
    </cfRule>
    <cfRule type="cellIs" dxfId="2" priority="5" operator="equal">
      <formula>-2</formula>
    </cfRule>
    <cfRule type="cellIs" dxfId="1" priority="6" operator="equal">
      <formula>-1</formula>
    </cfRule>
  </conditionalFormatting>
  <pageMargins left="0.7" right="0.7" top="0.75" bottom="0.75" header="0.3" footer="0.3"/>
  <pageSetup paperSize="9" orientation="portrait" horizontalDpi="4294967293" verticalDpi="0" r:id="rId1"/>
  <ignoredErrors>
    <ignoredError sqref="D7:V13 D3:V4 D5:U6" formula="1"/>
  </ignoredErrors>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filterMode="1"/>
  <dimension ref="A1:H164"/>
  <sheetViews>
    <sheetView zoomScale="90" zoomScaleNormal="90" workbookViewId="0">
      <pane xSplit="7" ySplit="1" topLeftCell="H2" activePane="bottomRight" state="frozen"/>
      <selection pane="topRight" activeCell="H1" sqref="H1"/>
      <selection pane="bottomLeft" activeCell="A2" sqref="A2"/>
      <selection pane="bottomRight" activeCell="F34" sqref="F34"/>
    </sheetView>
  </sheetViews>
  <sheetFormatPr baseColWidth="10" defaultColWidth="11.5703125" defaultRowHeight="15" x14ac:dyDescent="0.25"/>
  <cols>
    <col min="1" max="1" width="6.28515625" style="1" customWidth="1"/>
    <col min="2" max="2" width="7.140625" style="1" customWidth="1"/>
    <col min="3" max="3" width="7.28515625" style="1" customWidth="1"/>
    <col min="4" max="4" width="6.7109375" style="1" customWidth="1"/>
    <col min="5" max="5" width="28.140625" style="1" customWidth="1"/>
    <col min="6" max="6" width="19.7109375" style="1" customWidth="1"/>
    <col min="7" max="7" width="6.5703125" style="10" customWidth="1"/>
    <col min="8" max="8" width="109.5703125" style="1" customWidth="1"/>
    <col min="9" max="16384" width="11.5703125" style="1"/>
  </cols>
  <sheetData>
    <row r="1" spans="1:8" ht="30.6" customHeight="1" thickBot="1" x14ac:dyDescent="0.3">
      <c r="A1" s="52" t="s">
        <v>30</v>
      </c>
      <c r="B1" s="52" t="s">
        <v>54</v>
      </c>
      <c r="C1" s="52" t="s">
        <v>82</v>
      </c>
      <c r="D1" s="52" t="s">
        <v>83</v>
      </c>
      <c r="E1" s="52" t="s">
        <v>32</v>
      </c>
      <c r="F1" s="52" t="s">
        <v>53</v>
      </c>
      <c r="G1" s="53" t="s">
        <v>31</v>
      </c>
      <c r="H1" s="52" t="s">
        <v>65</v>
      </c>
    </row>
    <row r="2" spans="1:8" ht="45.75" hidden="1" thickTop="1" x14ac:dyDescent="0.25">
      <c r="A2" s="1" t="str">
        <f>IF(ISBLANK(G2),"",IF(G2&gt;0,"G","R")&amp;TEXT(ROW()-1,"00"))</f>
        <v>R01</v>
      </c>
      <c r="B2" s="1" t="str">
        <f>IF(LEN(A2)&gt;0,VLOOKUP(MID(A2,1,1),Abbreviations,2,FALSE),"")</f>
        <v>Risk</v>
      </c>
      <c r="E2" s="1" t="s">
        <v>52</v>
      </c>
      <c r="F2" s="1" t="s">
        <v>2</v>
      </c>
      <c r="G2" s="13">
        <v>-2</v>
      </c>
      <c r="H2" s="11" t="s">
        <v>118</v>
      </c>
    </row>
    <row r="3" spans="1:8" ht="30.75" hidden="1" thickTop="1" x14ac:dyDescent="0.25">
      <c r="A3" s="1" t="str">
        <f>IF(ISBLANK(G3),"",IF(G3&gt;0,"G","R")&amp;TEXT(ROW()-1,"00"))</f>
        <v>G02</v>
      </c>
      <c r="B3" s="1" t="str">
        <f>IF(LEN(A3)&gt;0,VLOOKUP(MID(A3,1,1),Abbreviations,2,FALSE),"")</f>
        <v>Goal</v>
      </c>
      <c r="E3" s="1" t="s">
        <v>52</v>
      </c>
      <c r="F3" s="1" t="s">
        <v>2</v>
      </c>
      <c r="G3" s="13">
        <v>1</v>
      </c>
      <c r="H3" s="11" t="s">
        <v>106</v>
      </c>
    </row>
    <row r="4" spans="1:8" ht="45.75" hidden="1" thickTop="1" x14ac:dyDescent="0.25">
      <c r="A4" s="1" t="str">
        <f t="shared" ref="A4" si="0">IF(ISBLANK(G4),"",IF(G4&gt;0,"G","R")&amp;TEXT(ROW()-1,"00"))</f>
        <v>R03</v>
      </c>
      <c r="B4" s="1" t="str">
        <f t="shared" ref="B4" si="1">IF(LEN(A4)&gt;0,VLOOKUP(MID(A4,1,1),Abbreviations,2,FALSE),"")</f>
        <v>Risk</v>
      </c>
      <c r="C4" s="1" t="s">
        <v>71</v>
      </c>
      <c r="D4" s="1" t="s">
        <v>84</v>
      </c>
      <c r="E4" s="1" t="s">
        <v>52</v>
      </c>
      <c r="F4" s="1" t="s">
        <v>0</v>
      </c>
      <c r="G4" s="13">
        <v>-1</v>
      </c>
      <c r="H4" s="1" t="s">
        <v>87</v>
      </c>
    </row>
    <row r="5" spans="1:8" ht="44.45" hidden="1" customHeight="1" x14ac:dyDescent="0.25">
      <c r="A5" s="1" t="str">
        <f>IF(ISBLANK(G5),"",IF(G5&gt;0,"G","R")&amp;TEXT(ROW()-1,"00"))</f>
        <v>G04</v>
      </c>
      <c r="B5" s="1" t="str">
        <f t="shared" ref="B5:B74" si="2">IF(LEN(A5)&gt;0,VLOOKUP(MID(A5,1,1),Abbreviations,2,FALSE),"")</f>
        <v>Goal</v>
      </c>
      <c r="E5" s="1" t="s">
        <v>52</v>
      </c>
      <c r="F5" s="1" t="s">
        <v>1</v>
      </c>
      <c r="G5" s="13">
        <v>2</v>
      </c>
      <c r="H5" s="15" t="s">
        <v>124</v>
      </c>
    </row>
    <row r="6" spans="1:8" ht="45.75" hidden="1" thickTop="1" x14ac:dyDescent="0.25">
      <c r="A6" s="1" t="str">
        <f t="shared" ref="A6:A10" si="3">IF(ISBLANK(G6),"",IF(G6&gt;0,"G","R")&amp;TEXT(ROW()-1,"00"))</f>
        <v>R05</v>
      </c>
      <c r="B6" s="1" t="str">
        <f t="shared" si="2"/>
        <v>Risk</v>
      </c>
      <c r="E6" s="1" t="s">
        <v>52</v>
      </c>
      <c r="F6" s="1" t="s">
        <v>1</v>
      </c>
      <c r="G6" s="13">
        <v>-2</v>
      </c>
      <c r="H6" s="15" t="s">
        <v>67</v>
      </c>
    </row>
    <row r="7" spans="1:8" ht="30.75" hidden="1" thickTop="1" x14ac:dyDescent="0.25">
      <c r="A7" s="1" t="str">
        <f>IF(ISBLANK(G7),"",IF(G7&gt;0,"G","R")&amp;TEXT(ROW()-1,"00"))</f>
        <v>G06</v>
      </c>
      <c r="B7" s="1" t="str">
        <f>IF(LEN(A7)&gt;0,VLOOKUP(MID(A7,1,1),Abbreviations,2,FALSE),"")</f>
        <v>Goal</v>
      </c>
      <c r="E7" s="1" t="s">
        <v>52</v>
      </c>
      <c r="F7" s="1" t="s">
        <v>5</v>
      </c>
      <c r="G7" s="13">
        <v>2</v>
      </c>
      <c r="H7" s="1" t="s">
        <v>142</v>
      </c>
    </row>
    <row r="8" spans="1:8" ht="30.75" hidden="1" thickTop="1" x14ac:dyDescent="0.25">
      <c r="A8" s="1" t="str">
        <f t="shared" si="3"/>
        <v>R07</v>
      </c>
      <c r="B8" s="1" t="str">
        <f t="shared" si="2"/>
        <v>Risk</v>
      </c>
      <c r="E8" s="1" t="s">
        <v>52</v>
      </c>
      <c r="F8" s="1" t="s">
        <v>4</v>
      </c>
      <c r="G8" s="13">
        <v>-1</v>
      </c>
      <c r="H8" s="1" t="s">
        <v>66</v>
      </c>
    </row>
    <row r="9" spans="1:8" ht="30.75" hidden="1" thickTop="1" x14ac:dyDescent="0.25">
      <c r="A9" s="1" t="str">
        <f t="shared" si="3"/>
        <v>R08</v>
      </c>
      <c r="B9" s="1" t="str">
        <f t="shared" si="2"/>
        <v>Risk</v>
      </c>
      <c r="E9" s="1" t="s">
        <v>52</v>
      </c>
      <c r="F9" s="1" t="s">
        <v>4</v>
      </c>
      <c r="G9" s="13">
        <v>-1</v>
      </c>
      <c r="H9" s="1" t="s">
        <v>159</v>
      </c>
    </row>
    <row r="10" spans="1:8" ht="30.75" hidden="1" thickTop="1" x14ac:dyDescent="0.25">
      <c r="A10" s="1" t="str">
        <f t="shared" si="3"/>
        <v>R09</v>
      </c>
      <c r="B10" s="1" t="str">
        <f t="shared" si="2"/>
        <v>Risk</v>
      </c>
      <c r="E10" s="1" t="s">
        <v>52</v>
      </c>
      <c r="F10" s="1" t="s">
        <v>4</v>
      </c>
      <c r="G10" s="13">
        <v>-1</v>
      </c>
      <c r="H10" s="1" t="s">
        <v>161</v>
      </c>
    </row>
    <row r="11" spans="1:8" ht="30.75" hidden="1" thickTop="1" x14ac:dyDescent="0.25">
      <c r="A11" s="1" t="str">
        <f>IF(ISBLANK(G11),"",IF(G11&gt;0,"G","R")&amp;TEXT(ROW()-1,"00"))</f>
        <v>R10</v>
      </c>
      <c r="B11" s="1" t="str">
        <f t="shared" ref="B11:B16" si="4">IF(LEN(A11)&gt;0,VLOOKUP(MID(A11,1,1),Abbreviations,2,FALSE),"")</f>
        <v>Risk</v>
      </c>
      <c r="E11" s="1" t="s">
        <v>52</v>
      </c>
      <c r="F11" s="1" t="s">
        <v>4</v>
      </c>
      <c r="G11" s="13">
        <v>-1</v>
      </c>
      <c r="H11" s="1" t="s">
        <v>162</v>
      </c>
    </row>
    <row r="12" spans="1:8" ht="30.75" hidden="1" thickTop="1" x14ac:dyDescent="0.25">
      <c r="A12" s="1" t="str">
        <f>IF(ISBLANK(G12),"",IF(G12&gt;0,"G","R")&amp;TEXT(ROW()-1,"00"))</f>
        <v>G11</v>
      </c>
      <c r="B12" s="1" t="str">
        <f t="shared" si="4"/>
        <v>Goal</v>
      </c>
      <c r="E12" s="1" t="s">
        <v>57</v>
      </c>
      <c r="F12" s="15" t="s">
        <v>1</v>
      </c>
      <c r="G12" s="13">
        <v>1</v>
      </c>
      <c r="H12" s="1" t="s">
        <v>68</v>
      </c>
    </row>
    <row r="13" spans="1:8" ht="30.75" hidden="1" thickTop="1" x14ac:dyDescent="0.25">
      <c r="A13" s="1" t="str">
        <f>IF(ISBLANK(G13),"",IF(G13&gt;0,"G","R")&amp;TEXT(ROW()-1,"00"))</f>
        <v>R12</v>
      </c>
      <c r="B13" s="1" t="str">
        <f t="shared" si="4"/>
        <v>Risk</v>
      </c>
      <c r="E13" s="1" t="s">
        <v>57</v>
      </c>
      <c r="F13" s="1" t="s">
        <v>1</v>
      </c>
      <c r="G13" s="13">
        <v>-2</v>
      </c>
      <c r="H13" s="1" t="s">
        <v>69</v>
      </c>
    </row>
    <row r="14" spans="1:8" ht="30.75" hidden="1" thickTop="1" x14ac:dyDescent="0.25">
      <c r="A14" s="1" t="str">
        <f>IF(ISBLANK(G14),"",IF(G14&gt;0,"G","R")&amp;TEXT(ROW()-1,"00"))</f>
        <v>R13</v>
      </c>
      <c r="B14" s="1" t="str">
        <f t="shared" si="4"/>
        <v>Risk</v>
      </c>
      <c r="E14" s="1" t="s">
        <v>57</v>
      </c>
      <c r="F14" s="1" t="s">
        <v>4</v>
      </c>
      <c r="G14" s="13">
        <v>-1</v>
      </c>
      <c r="H14" s="1" t="s">
        <v>160</v>
      </c>
    </row>
    <row r="15" spans="1:8" ht="30.75" hidden="1" thickTop="1" x14ac:dyDescent="0.25">
      <c r="A15" s="1" t="str">
        <f t="shared" ref="A15:A16" si="5">IF(ISBLANK(G15),"",IF(G15&gt;0,"G","R")&amp;TEXT(ROW()-1,"00"))</f>
        <v>R14</v>
      </c>
      <c r="B15" s="1" t="str">
        <f t="shared" si="4"/>
        <v>Risk</v>
      </c>
      <c r="E15" s="1" t="s">
        <v>57</v>
      </c>
      <c r="F15" s="1" t="s">
        <v>4</v>
      </c>
      <c r="G15" s="13">
        <v>-1</v>
      </c>
      <c r="H15" s="1" t="s">
        <v>172</v>
      </c>
    </row>
    <row r="16" spans="1:8" ht="15.75" hidden="1" thickTop="1" x14ac:dyDescent="0.25">
      <c r="A16" s="1" t="str">
        <f t="shared" si="5"/>
        <v>R15</v>
      </c>
      <c r="B16" s="1" t="str">
        <f t="shared" si="4"/>
        <v>Risk</v>
      </c>
      <c r="E16" s="1" t="s">
        <v>57</v>
      </c>
      <c r="F16" s="1" t="s">
        <v>4</v>
      </c>
      <c r="G16" s="13">
        <v>-1</v>
      </c>
      <c r="H16" s="1" t="s">
        <v>181</v>
      </c>
    </row>
    <row r="17" spans="1:8" ht="30.75" hidden="1" thickTop="1" x14ac:dyDescent="0.25">
      <c r="A17" s="1" t="str">
        <f t="shared" ref="A17:A106" si="6">IF(ISBLANK(G17),"",IF(G17&gt;0,"G","R")&amp;TEXT(ROW()-1,"00"))</f>
        <v>R16</v>
      </c>
      <c r="B17" s="1" t="str">
        <f t="shared" si="2"/>
        <v>Risk</v>
      </c>
      <c r="C17" s="1" t="s">
        <v>70</v>
      </c>
      <c r="E17" s="1" t="s">
        <v>57</v>
      </c>
      <c r="F17" s="1" t="s">
        <v>3</v>
      </c>
      <c r="G17" s="13">
        <v>-1</v>
      </c>
      <c r="H17" s="1" t="s">
        <v>72</v>
      </c>
    </row>
    <row r="18" spans="1:8" ht="15.75" hidden="1" thickTop="1" x14ac:dyDescent="0.25">
      <c r="A18" s="1" t="str">
        <f t="shared" si="6"/>
        <v>R17</v>
      </c>
      <c r="B18" s="1" t="str">
        <f t="shared" si="2"/>
        <v>Risk</v>
      </c>
      <c r="E18" s="1" t="s">
        <v>57</v>
      </c>
      <c r="F18" s="1" t="s">
        <v>78</v>
      </c>
      <c r="G18" s="13">
        <v>-2</v>
      </c>
      <c r="H18" s="1" t="s">
        <v>73</v>
      </c>
    </row>
    <row r="19" spans="1:8" ht="30.75" hidden="1" thickTop="1" x14ac:dyDescent="0.25">
      <c r="A19" s="1" t="str">
        <f t="shared" ref="A19" si="7">IF(ISBLANK(G19),"",IF(G19&gt;0,"G","R")&amp;TEXT(ROW()-1,"00"))</f>
        <v>R18</v>
      </c>
      <c r="B19" s="1" t="str">
        <f t="shared" si="2"/>
        <v>Risk</v>
      </c>
      <c r="E19" s="1" t="s">
        <v>57</v>
      </c>
      <c r="F19" s="1" t="s">
        <v>78</v>
      </c>
      <c r="G19" s="13">
        <v>-1</v>
      </c>
      <c r="H19" s="1" t="s">
        <v>75</v>
      </c>
    </row>
    <row r="20" spans="1:8" ht="30.75" hidden="1" thickTop="1" x14ac:dyDescent="0.25">
      <c r="A20" s="1" t="str">
        <f t="shared" ref="A20:A21" si="8">IF(ISBLANK(G20),"",IF(G20&gt;0,"G","R")&amp;TEXT(ROW()-1,"00"))</f>
        <v>R19</v>
      </c>
      <c r="B20" s="1" t="str">
        <f t="shared" ref="B20:B21" si="9">IF(LEN(A20)&gt;0,VLOOKUP(MID(A20,1,1),Abbreviations,2,FALSE),"")</f>
        <v>Risk</v>
      </c>
      <c r="E20" s="1" t="s">
        <v>57</v>
      </c>
      <c r="F20" s="1" t="s">
        <v>6</v>
      </c>
      <c r="G20" s="13">
        <v>-1</v>
      </c>
      <c r="H20" s="1" t="s">
        <v>163</v>
      </c>
    </row>
    <row r="21" spans="1:8" ht="30.75" hidden="1" thickTop="1" x14ac:dyDescent="0.25">
      <c r="A21" s="1" t="str">
        <f t="shared" si="8"/>
        <v>G20</v>
      </c>
      <c r="B21" s="1" t="str">
        <f t="shared" si="9"/>
        <v>Goal</v>
      </c>
      <c r="E21" s="1" t="s">
        <v>57</v>
      </c>
      <c r="F21" s="1" t="s">
        <v>6</v>
      </c>
      <c r="G21" s="13">
        <v>2</v>
      </c>
      <c r="H21" s="1" t="s">
        <v>164</v>
      </c>
    </row>
    <row r="22" spans="1:8" ht="30.75" hidden="1" thickTop="1" x14ac:dyDescent="0.25">
      <c r="A22" s="1" t="str">
        <f t="shared" ref="A22:A25" si="10">IF(ISBLANK(G22),"",IF(G22&gt;0,"G","R")&amp;TEXT(ROW()-1,"00"))</f>
        <v>R21</v>
      </c>
      <c r="B22" s="1" t="str">
        <f t="shared" ref="B22:B25" si="11">IF(LEN(A22)&gt;0,VLOOKUP(MID(A22,1,1),Abbreviations,2,FALSE),"")</f>
        <v>Risk</v>
      </c>
      <c r="E22" s="1" t="s">
        <v>169</v>
      </c>
      <c r="F22" s="1" t="s">
        <v>4</v>
      </c>
      <c r="G22" s="13">
        <v>-1</v>
      </c>
      <c r="H22" s="1" t="s">
        <v>170</v>
      </c>
    </row>
    <row r="23" spans="1:8" ht="30.75" hidden="1" thickTop="1" x14ac:dyDescent="0.25">
      <c r="A23" s="1" t="str">
        <f t="shared" si="10"/>
        <v>R22</v>
      </c>
      <c r="B23" s="1" t="str">
        <f t="shared" si="11"/>
        <v>Risk</v>
      </c>
      <c r="E23" s="1" t="s">
        <v>169</v>
      </c>
      <c r="F23" s="1" t="s">
        <v>4</v>
      </c>
      <c r="G23" s="13">
        <v>-1</v>
      </c>
      <c r="H23" s="1" t="s">
        <v>171</v>
      </c>
    </row>
    <row r="24" spans="1:8" ht="30.75" hidden="1" thickTop="1" x14ac:dyDescent="0.25">
      <c r="A24" s="1" t="str">
        <f t="shared" si="10"/>
        <v>R23</v>
      </c>
      <c r="B24" s="1" t="str">
        <f t="shared" si="11"/>
        <v>Risk</v>
      </c>
      <c r="E24" s="1" t="s">
        <v>169</v>
      </c>
      <c r="F24" s="1" t="s">
        <v>4</v>
      </c>
      <c r="G24" s="13">
        <v>-1</v>
      </c>
      <c r="H24" s="1" t="s">
        <v>173</v>
      </c>
    </row>
    <row r="25" spans="1:8" ht="30.75" hidden="1" thickTop="1" x14ac:dyDescent="0.25">
      <c r="A25" s="1" t="str">
        <f t="shared" si="10"/>
        <v>R24</v>
      </c>
      <c r="B25" s="1" t="str">
        <f t="shared" si="11"/>
        <v>Risk</v>
      </c>
      <c r="E25" s="1" t="s">
        <v>169</v>
      </c>
      <c r="F25" s="1" t="s">
        <v>78</v>
      </c>
      <c r="G25" s="13">
        <v>-2</v>
      </c>
      <c r="H25" s="1" t="s">
        <v>174</v>
      </c>
    </row>
    <row r="26" spans="1:8" ht="30.75" hidden="1" thickTop="1" x14ac:dyDescent="0.25">
      <c r="A26" s="1" t="str">
        <f t="shared" ref="A26:A29" si="12">IF(ISBLANK(G26),"",IF(G26&gt;0,"G","R")&amp;TEXT(ROW()-1,"00"))</f>
        <v>G25</v>
      </c>
      <c r="B26" s="1" t="str">
        <f t="shared" ref="B26:B29" si="13">IF(LEN(A26)&gt;0,VLOOKUP(MID(A26,1,1),Abbreviations,2,FALSE),"")</f>
        <v>Goal</v>
      </c>
      <c r="E26" s="1" t="s">
        <v>169</v>
      </c>
      <c r="F26" s="1" t="s">
        <v>78</v>
      </c>
      <c r="G26" s="13">
        <v>1</v>
      </c>
      <c r="H26" s="1" t="s">
        <v>175</v>
      </c>
    </row>
    <row r="27" spans="1:8" ht="45.75" thickTop="1" x14ac:dyDescent="0.25">
      <c r="A27" s="1" t="str">
        <f t="shared" si="12"/>
        <v>R26</v>
      </c>
      <c r="B27" s="1" t="str">
        <f t="shared" si="13"/>
        <v>Risk</v>
      </c>
      <c r="E27" s="1" t="s">
        <v>168</v>
      </c>
      <c r="F27" s="1" t="s">
        <v>4</v>
      </c>
      <c r="G27" s="13">
        <v>-2</v>
      </c>
      <c r="H27" s="1" t="s">
        <v>185</v>
      </c>
    </row>
    <row r="28" spans="1:8" ht="30" x14ac:dyDescent="0.25">
      <c r="A28" s="1" t="str">
        <f t="shared" si="12"/>
        <v>R27</v>
      </c>
      <c r="B28" s="1" t="str">
        <f t="shared" si="13"/>
        <v>Risk</v>
      </c>
      <c r="E28" s="1" t="s">
        <v>168</v>
      </c>
      <c r="F28" s="1" t="s">
        <v>4</v>
      </c>
      <c r="G28" s="13">
        <v>-2</v>
      </c>
      <c r="H28" s="1" t="s">
        <v>184</v>
      </c>
    </row>
    <row r="29" spans="1:8" ht="30" x14ac:dyDescent="0.25">
      <c r="A29" s="1" t="str">
        <f t="shared" si="12"/>
        <v>R28</v>
      </c>
      <c r="B29" s="1" t="str">
        <f t="shared" si="13"/>
        <v>Risk</v>
      </c>
      <c r="E29" s="1" t="s">
        <v>168</v>
      </c>
      <c r="F29" s="1" t="s">
        <v>4</v>
      </c>
      <c r="G29" s="13">
        <v>-2</v>
      </c>
      <c r="H29" s="1" t="s">
        <v>188</v>
      </c>
    </row>
    <row r="30" spans="1:8" x14ac:dyDescent="0.25">
      <c r="A30" s="1" t="str">
        <f t="shared" ref="A30:A31" si="14">IF(ISBLANK(G30),"",IF(G30&gt;0,"G","R")&amp;TEXT(ROW()-1,"00"))</f>
        <v>G29</v>
      </c>
      <c r="B30" s="1" t="str">
        <f t="shared" ref="B30:B31" si="15">IF(LEN(A30)&gt;0,VLOOKUP(MID(A30,1,1),Abbreviations,2,FALSE),"")</f>
        <v>Goal</v>
      </c>
      <c r="E30" s="1" t="s">
        <v>168</v>
      </c>
      <c r="F30" s="1" t="s">
        <v>6</v>
      </c>
      <c r="G30" s="13">
        <v>1</v>
      </c>
      <c r="H30" s="1" t="s">
        <v>176</v>
      </c>
    </row>
    <row r="31" spans="1:8" ht="30" x14ac:dyDescent="0.25">
      <c r="A31" s="1" t="str">
        <f t="shared" si="14"/>
        <v>R30</v>
      </c>
      <c r="B31" s="1" t="str">
        <f t="shared" si="15"/>
        <v>Risk</v>
      </c>
      <c r="E31" s="1" t="s">
        <v>168</v>
      </c>
      <c r="F31" s="1" t="s">
        <v>78</v>
      </c>
      <c r="G31" s="13">
        <v>-2</v>
      </c>
      <c r="H31" s="1" t="s">
        <v>177</v>
      </c>
    </row>
    <row r="32" spans="1:8" x14ac:dyDescent="0.25">
      <c r="A32" s="1" t="str">
        <f t="shared" ref="A32:A33" si="16">IF(ISBLANK(G32),"",IF(G32&gt;0,"G","R")&amp;TEXT(ROW()-1,"00"))</f>
        <v>R31</v>
      </c>
      <c r="B32" s="1" t="str">
        <f t="shared" ref="B32" si="17">IF(LEN(A32)&gt;0,VLOOKUP(MID(A32,1,1),Abbreviations,2,FALSE),"")</f>
        <v>Risk</v>
      </c>
      <c r="E32" s="1" t="s">
        <v>168</v>
      </c>
      <c r="F32" s="1" t="s">
        <v>7</v>
      </c>
      <c r="G32" s="13">
        <v>-1</v>
      </c>
      <c r="H32" s="1" t="s">
        <v>178</v>
      </c>
    </row>
    <row r="33" spans="1:8" x14ac:dyDescent="0.25">
      <c r="A33" s="1" t="str">
        <f t="shared" si="16"/>
        <v>R32</v>
      </c>
      <c r="B33" s="1" t="str">
        <f t="shared" ref="B33" si="18">IF(LEN(A33)&gt;0,VLOOKUP(MID(A33,1,1),Abbreviations,2,FALSE),"")</f>
        <v>Risk</v>
      </c>
      <c r="E33" s="1" t="s">
        <v>168</v>
      </c>
      <c r="F33" s="1" t="s">
        <v>7</v>
      </c>
      <c r="G33" s="13">
        <v>-1</v>
      </c>
      <c r="H33" s="1" t="s">
        <v>179</v>
      </c>
    </row>
    <row r="34" spans="1:8" ht="30" x14ac:dyDescent="0.25">
      <c r="A34" s="1" t="str">
        <f t="shared" ref="A34" si="19">IF(ISBLANK(G34),"",IF(G34&gt;0,"G","R")&amp;TEXT(ROW()-1,"00"))</f>
        <v>G33</v>
      </c>
      <c r="B34" s="1" t="str">
        <f t="shared" ref="B34" si="20">IF(LEN(A34)&gt;0,VLOOKUP(MID(A34,1,1),Abbreviations,2,FALSE),"")</f>
        <v>Goal</v>
      </c>
      <c r="E34" s="1" t="s">
        <v>168</v>
      </c>
      <c r="F34" s="1" t="s">
        <v>7</v>
      </c>
      <c r="G34" s="13">
        <v>1</v>
      </c>
      <c r="H34" s="1" t="s">
        <v>180</v>
      </c>
    </row>
    <row r="35" spans="1:8" ht="30" hidden="1" x14ac:dyDescent="0.25">
      <c r="A35" s="1" t="str">
        <f t="shared" ref="A35:A64" si="21">IF(ISBLANK(G35),"",IF(G35&gt;0,"G","R")&amp;TEXT(ROW()-1,"00"))</f>
        <v>G34</v>
      </c>
      <c r="B35" s="1" t="str">
        <f t="shared" si="2"/>
        <v>Goal</v>
      </c>
      <c r="C35" s="1" t="s">
        <v>71</v>
      </c>
      <c r="E35" s="1" t="s">
        <v>38</v>
      </c>
      <c r="F35" s="1" t="s">
        <v>78</v>
      </c>
      <c r="G35" s="13">
        <v>1</v>
      </c>
      <c r="H35" s="1" t="s">
        <v>74</v>
      </c>
    </row>
    <row r="36" spans="1:8" ht="30" hidden="1" x14ac:dyDescent="0.25">
      <c r="A36" s="1" t="str">
        <f t="shared" ref="A36:A40" si="22">IF(ISBLANK(G36),"",IF(G36&gt;0,"G","R")&amp;TEXT(ROW()-1,"00"))</f>
        <v>G35</v>
      </c>
      <c r="B36" s="1" t="str">
        <f t="shared" ref="B36" si="23">IF(LEN(A36)&gt;0,VLOOKUP(MID(A36,1,1),Abbreviations,2,FALSE),"")</f>
        <v>Goal</v>
      </c>
      <c r="C36" s="1" t="s">
        <v>71</v>
      </c>
      <c r="E36" s="1" t="s">
        <v>38</v>
      </c>
      <c r="F36" s="1" t="s">
        <v>6</v>
      </c>
      <c r="G36" s="13">
        <v>1</v>
      </c>
      <c r="H36" s="1" t="s">
        <v>165</v>
      </c>
    </row>
    <row r="37" spans="1:8" ht="45" hidden="1" x14ac:dyDescent="0.25">
      <c r="A37" s="1" t="str">
        <f t="shared" ref="A37:A39" si="24">IF(ISBLANK(G37),"",IF(G37&gt;0,"G","R")&amp;TEXT(ROW()-1,"00"))</f>
        <v>R36</v>
      </c>
      <c r="B37" s="1" t="str">
        <f t="shared" ref="B37:B39" si="25">IF(LEN(A37)&gt;0,VLOOKUP(MID(A37,1,1),Abbreviations,2,FALSE),"")</f>
        <v>Risk</v>
      </c>
      <c r="C37" s="1" t="s">
        <v>71</v>
      </c>
      <c r="D37" s="1" t="s">
        <v>85</v>
      </c>
      <c r="E37" s="1" t="s">
        <v>76</v>
      </c>
      <c r="F37" s="1" t="s">
        <v>4</v>
      </c>
      <c r="G37" s="13">
        <v>-2</v>
      </c>
      <c r="H37" s="1" t="s">
        <v>186</v>
      </c>
    </row>
    <row r="38" spans="1:8" ht="30" hidden="1" x14ac:dyDescent="0.25">
      <c r="A38" s="1" t="str">
        <f t="shared" si="24"/>
        <v>R37</v>
      </c>
      <c r="B38" s="1" t="str">
        <f t="shared" si="25"/>
        <v>Risk</v>
      </c>
      <c r="C38" s="1" t="s">
        <v>71</v>
      </c>
      <c r="D38" s="1" t="s">
        <v>85</v>
      </c>
      <c r="E38" s="1" t="s">
        <v>76</v>
      </c>
      <c r="F38" s="1" t="s">
        <v>4</v>
      </c>
      <c r="G38" s="13">
        <v>-2</v>
      </c>
      <c r="H38" s="1" t="s">
        <v>182</v>
      </c>
    </row>
    <row r="39" spans="1:8" hidden="1" x14ac:dyDescent="0.25">
      <c r="A39" s="1" t="str">
        <f t="shared" si="24"/>
        <v>R38</v>
      </c>
      <c r="B39" s="1" t="str">
        <f t="shared" si="25"/>
        <v>Risk</v>
      </c>
      <c r="C39" s="1" t="s">
        <v>71</v>
      </c>
      <c r="D39" s="1" t="s">
        <v>85</v>
      </c>
      <c r="E39" s="1" t="s">
        <v>76</v>
      </c>
      <c r="F39" s="1" t="s">
        <v>4</v>
      </c>
      <c r="G39" s="13">
        <v>-1</v>
      </c>
      <c r="H39" s="1" t="s">
        <v>183</v>
      </c>
    </row>
    <row r="40" spans="1:8" ht="60" hidden="1" x14ac:dyDescent="0.25">
      <c r="A40" s="1" t="str">
        <f t="shared" si="22"/>
        <v>G39</v>
      </c>
      <c r="B40" s="1" t="str">
        <f t="shared" ref="B40" si="26">IF(LEN(A40)&gt;0,VLOOKUP(MID(A40,1,1),Abbreviations,2,FALSE),"")</f>
        <v>Goal</v>
      </c>
      <c r="C40" s="1" t="s">
        <v>71</v>
      </c>
      <c r="E40" s="1" t="s">
        <v>76</v>
      </c>
      <c r="F40" s="1" t="s">
        <v>6</v>
      </c>
      <c r="G40" s="13">
        <v>1</v>
      </c>
      <c r="H40" s="1" t="s">
        <v>166</v>
      </c>
    </row>
    <row r="41" spans="1:8" ht="30" hidden="1" x14ac:dyDescent="0.25">
      <c r="A41" s="1" t="str">
        <f t="shared" si="21"/>
        <v>G40</v>
      </c>
      <c r="B41" s="1" t="str">
        <f t="shared" si="2"/>
        <v>Goal</v>
      </c>
      <c r="C41" s="1" t="s">
        <v>71</v>
      </c>
      <c r="E41" s="1" t="s">
        <v>76</v>
      </c>
      <c r="F41" s="1" t="s">
        <v>78</v>
      </c>
      <c r="G41" s="13">
        <v>1</v>
      </c>
      <c r="H41" s="1" t="s">
        <v>79</v>
      </c>
    </row>
    <row r="42" spans="1:8" ht="30" hidden="1" x14ac:dyDescent="0.25">
      <c r="A42" s="1" t="str">
        <f t="shared" ref="A42" si="27">IF(ISBLANK(G42),"",IF(G42&gt;0,"G","R")&amp;TEXT(ROW()-1,"00"))</f>
        <v>R41</v>
      </c>
      <c r="B42" s="1" t="str">
        <f t="shared" si="2"/>
        <v>Risk</v>
      </c>
      <c r="C42" s="1" t="s">
        <v>71</v>
      </c>
      <c r="D42" s="1" t="s">
        <v>85</v>
      </c>
      <c r="E42" s="1" t="s">
        <v>76</v>
      </c>
      <c r="F42" s="1" t="s">
        <v>78</v>
      </c>
      <c r="G42" s="13">
        <v>-1</v>
      </c>
      <c r="H42" s="1" t="s">
        <v>81</v>
      </c>
    </row>
    <row r="43" spans="1:8" ht="30" hidden="1" x14ac:dyDescent="0.25">
      <c r="A43" s="1" t="str">
        <f t="shared" si="21"/>
        <v>R42</v>
      </c>
      <c r="B43" s="1" t="str">
        <f t="shared" si="2"/>
        <v>Risk</v>
      </c>
      <c r="C43" s="1" t="s">
        <v>71</v>
      </c>
      <c r="D43" s="1" t="s">
        <v>85</v>
      </c>
      <c r="E43" s="1" t="s">
        <v>39</v>
      </c>
      <c r="F43" s="1" t="s">
        <v>78</v>
      </c>
      <c r="G43" s="13">
        <v>-2</v>
      </c>
      <c r="H43" s="1" t="s">
        <v>80</v>
      </c>
    </row>
    <row r="44" spans="1:8" ht="30" hidden="1" x14ac:dyDescent="0.25">
      <c r="A44" s="1" t="str">
        <f t="shared" si="21"/>
        <v>R43</v>
      </c>
      <c r="B44" s="1" t="str">
        <f t="shared" si="2"/>
        <v>Risk</v>
      </c>
      <c r="C44" s="1" t="s">
        <v>71</v>
      </c>
      <c r="D44" s="1" t="s">
        <v>85</v>
      </c>
      <c r="E44" s="1" t="s">
        <v>39</v>
      </c>
      <c r="F44" s="1" t="s">
        <v>4</v>
      </c>
      <c r="G44" s="13">
        <v>-2</v>
      </c>
      <c r="H44" s="1" t="s">
        <v>250</v>
      </c>
    </row>
    <row r="45" spans="1:8" ht="30" hidden="1" x14ac:dyDescent="0.25">
      <c r="A45" s="1" t="str">
        <f t="shared" si="21"/>
        <v>R44</v>
      </c>
      <c r="B45" s="1" t="str">
        <f t="shared" si="2"/>
        <v>Risk</v>
      </c>
      <c r="C45" s="1" t="s">
        <v>99</v>
      </c>
      <c r="E45" s="1" t="s">
        <v>40</v>
      </c>
      <c r="F45" s="1" t="s">
        <v>3</v>
      </c>
      <c r="G45" s="13">
        <v>-1</v>
      </c>
      <c r="H45" s="1" t="s">
        <v>88</v>
      </c>
    </row>
    <row r="46" spans="1:8" ht="30" hidden="1" x14ac:dyDescent="0.25">
      <c r="A46" s="1" t="str">
        <f t="shared" si="21"/>
        <v>G45</v>
      </c>
      <c r="B46" s="1" t="str">
        <f t="shared" si="2"/>
        <v>Goal</v>
      </c>
      <c r="C46" s="1" t="s">
        <v>99</v>
      </c>
      <c r="E46" s="1" t="s">
        <v>40</v>
      </c>
      <c r="F46" s="1" t="s">
        <v>6</v>
      </c>
      <c r="G46" s="13">
        <v>1</v>
      </c>
      <c r="H46" s="1" t="s">
        <v>167</v>
      </c>
    </row>
    <row r="47" spans="1:8" ht="30" hidden="1" x14ac:dyDescent="0.25">
      <c r="A47" s="1" t="str">
        <f t="shared" ref="A47" si="28">IF(ISBLANK(G47),"",IF(G47&gt;0,"G","R")&amp;TEXT(ROW()-1,"00"))</f>
        <v>R46</v>
      </c>
      <c r="B47" s="1" t="str">
        <f t="shared" ref="B47" si="29">IF(LEN(A47)&gt;0,VLOOKUP(MID(A47,1,1),Abbreviations,2,FALSE),"")</f>
        <v>Risk</v>
      </c>
      <c r="C47" s="1" t="s">
        <v>99</v>
      </c>
      <c r="E47" s="1" t="s">
        <v>40</v>
      </c>
      <c r="F47" s="1" t="s">
        <v>78</v>
      </c>
      <c r="G47" s="13">
        <v>-2</v>
      </c>
      <c r="H47" s="1" t="s">
        <v>89</v>
      </c>
    </row>
    <row r="48" spans="1:8" ht="30" hidden="1" x14ac:dyDescent="0.25">
      <c r="A48" s="1" t="str">
        <f t="shared" si="21"/>
        <v>G47</v>
      </c>
      <c r="B48" s="1" t="str">
        <f t="shared" si="2"/>
        <v>Goal</v>
      </c>
      <c r="E48" s="1" t="s">
        <v>40</v>
      </c>
      <c r="F48" s="1" t="s">
        <v>7</v>
      </c>
      <c r="G48" s="13">
        <v>1</v>
      </c>
      <c r="H48" s="1" t="s">
        <v>90</v>
      </c>
    </row>
    <row r="49" spans="1:8" hidden="1" x14ac:dyDescent="0.25">
      <c r="A49" s="1" t="str">
        <f t="shared" si="21"/>
        <v>G48</v>
      </c>
      <c r="B49" s="1" t="str">
        <f t="shared" si="2"/>
        <v>Goal</v>
      </c>
      <c r="C49" s="1" t="s">
        <v>99</v>
      </c>
      <c r="E49" s="1" t="s">
        <v>40</v>
      </c>
      <c r="F49" s="1" t="s">
        <v>8</v>
      </c>
      <c r="G49" s="13">
        <v>1</v>
      </c>
      <c r="H49" s="1" t="s">
        <v>91</v>
      </c>
    </row>
    <row r="50" spans="1:8" ht="30" hidden="1" x14ac:dyDescent="0.25">
      <c r="A50" s="1" t="str">
        <f t="shared" si="21"/>
        <v>R49</v>
      </c>
      <c r="B50" s="1" t="str">
        <f t="shared" si="2"/>
        <v>Risk</v>
      </c>
      <c r="C50" s="1" t="s">
        <v>99</v>
      </c>
      <c r="E50" s="1" t="s">
        <v>40</v>
      </c>
      <c r="F50" s="1" t="s">
        <v>4</v>
      </c>
      <c r="G50" s="13">
        <v>-1</v>
      </c>
      <c r="H50" s="1" t="s">
        <v>103</v>
      </c>
    </row>
    <row r="51" spans="1:8" hidden="1" x14ac:dyDescent="0.25">
      <c r="A51" s="1" t="str">
        <f t="shared" si="21"/>
        <v>R50</v>
      </c>
      <c r="B51" s="1" t="str">
        <f t="shared" si="2"/>
        <v>Risk</v>
      </c>
      <c r="E51" s="1" t="s">
        <v>41</v>
      </c>
      <c r="F51" s="1" t="s">
        <v>78</v>
      </c>
      <c r="G51" s="13">
        <v>-2</v>
      </c>
      <c r="H51" s="1" t="s">
        <v>101</v>
      </c>
    </row>
    <row r="52" spans="1:8" hidden="1" x14ac:dyDescent="0.25">
      <c r="A52" s="1" t="str">
        <f t="shared" si="21"/>
        <v>G51</v>
      </c>
      <c r="B52" s="1" t="str">
        <f t="shared" si="2"/>
        <v>Goal</v>
      </c>
      <c r="E52" s="1" t="s">
        <v>41</v>
      </c>
      <c r="F52" s="1" t="s">
        <v>7</v>
      </c>
      <c r="G52" s="13">
        <v>2</v>
      </c>
      <c r="H52" s="1" t="s">
        <v>100</v>
      </c>
    </row>
    <row r="53" spans="1:8" ht="30" hidden="1" x14ac:dyDescent="0.25">
      <c r="A53" s="1" t="str">
        <f t="shared" si="21"/>
        <v>R52</v>
      </c>
      <c r="B53" s="1" t="str">
        <f t="shared" si="2"/>
        <v>Risk</v>
      </c>
      <c r="C53" s="1" t="s">
        <v>84</v>
      </c>
      <c r="E53" s="1" t="s">
        <v>41</v>
      </c>
      <c r="F53" s="1" t="s">
        <v>7</v>
      </c>
      <c r="G53" s="13">
        <v>-2</v>
      </c>
      <c r="H53" s="1" t="s">
        <v>108</v>
      </c>
    </row>
    <row r="54" spans="1:8" hidden="1" x14ac:dyDescent="0.25">
      <c r="A54" s="1" t="str">
        <f t="shared" si="21"/>
        <v>G53</v>
      </c>
      <c r="B54" s="1" t="str">
        <f t="shared" si="2"/>
        <v>Goal</v>
      </c>
      <c r="E54" s="1" t="s">
        <v>41</v>
      </c>
      <c r="F54" s="15" t="s">
        <v>8</v>
      </c>
      <c r="G54" s="13">
        <v>2</v>
      </c>
      <c r="H54" s="1" t="s">
        <v>251</v>
      </c>
    </row>
    <row r="55" spans="1:8" hidden="1" x14ac:dyDescent="0.25">
      <c r="A55" s="1" t="str">
        <f t="shared" si="21"/>
        <v>R54</v>
      </c>
      <c r="B55" s="1" t="str">
        <f t="shared" si="2"/>
        <v>Risk</v>
      </c>
      <c r="E55" s="1" t="s">
        <v>41</v>
      </c>
      <c r="F55" s="1" t="s">
        <v>4</v>
      </c>
      <c r="G55" s="13">
        <v>-2</v>
      </c>
      <c r="H55" s="1" t="s">
        <v>102</v>
      </c>
    </row>
    <row r="56" spans="1:8" ht="30" hidden="1" x14ac:dyDescent="0.25">
      <c r="A56" s="1" t="str">
        <f t="shared" ref="A56:A61" si="30">IF(ISBLANK(G56),"",IF(G56&gt;0,"G","R")&amp;TEXT(ROW()-1,"00"))</f>
        <v>R55</v>
      </c>
      <c r="B56" s="1" t="str">
        <f t="shared" ref="B56:B61" si="31">IF(LEN(A56)&gt;0,VLOOKUP(MID(A56,1,1),Abbreviations,2,FALSE),"")</f>
        <v>Risk</v>
      </c>
      <c r="C56" s="1" t="s">
        <v>84</v>
      </c>
      <c r="E56" s="1" t="s">
        <v>107</v>
      </c>
      <c r="F56" s="1" t="s">
        <v>78</v>
      </c>
      <c r="G56" s="13">
        <v>-2</v>
      </c>
      <c r="H56" s="1" t="s">
        <v>104</v>
      </c>
    </row>
    <row r="57" spans="1:8" ht="30" hidden="1" x14ac:dyDescent="0.25">
      <c r="A57" s="1" t="str">
        <f t="shared" ref="A57" si="32">IF(ISBLANK(G57),"",IF(G57&gt;0,"G","R")&amp;TEXT(ROW()-1,"00"))</f>
        <v>R56</v>
      </c>
      <c r="B57" s="1" t="str">
        <f t="shared" ref="B57:B60" si="33">IF(LEN(A57)&gt;0,VLOOKUP(MID(A57,1,1),Abbreviations,2,FALSE),"")</f>
        <v>Risk</v>
      </c>
      <c r="C57" s="1" t="s">
        <v>84</v>
      </c>
      <c r="E57" s="1" t="s">
        <v>107</v>
      </c>
      <c r="F57" s="1" t="s">
        <v>78</v>
      </c>
      <c r="G57" s="13">
        <v>-2</v>
      </c>
      <c r="H57" s="1" t="s">
        <v>105</v>
      </c>
    </row>
    <row r="58" spans="1:8" ht="30" hidden="1" x14ac:dyDescent="0.25">
      <c r="A58" s="1" t="str">
        <f t="shared" si="30"/>
        <v>G57</v>
      </c>
      <c r="B58" s="1" t="str">
        <f t="shared" si="33"/>
        <v>Goal</v>
      </c>
      <c r="C58" s="1" t="s">
        <v>84</v>
      </c>
      <c r="E58" s="1" t="s">
        <v>107</v>
      </c>
      <c r="F58" s="1" t="s">
        <v>7</v>
      </c>
      <c r="G58" s="13">
        <v>1</v>
      </c>
      <c r="H58" s="15" t="s">
        <v>114</v>
      </c>
    </row>
    <row r="59" spans="1:8" ht="30" hidden="1" x14ac:dyDescent="0.25">
      <c r="A59" s="1" t="str">
        <f t="shared" si="30"/>
        <v>R58</v>
      </c>
      <c r="B59" s="1" t="str">
        <f t="shared" si="33"/>
        <v>Risk</v>
      </c>
      <c r="C59" s="1" t="s">
        <v>84</v>
      </c>
      <c r="E59" s="1" t="s">
        <v>107</v>
      </c>
      <c r="F59" s="1" t="s">
        <v>7</v>
      </c>
      <c r="G59" s="13">
        <v>-1</v>
      </c>
      <c r="H59" s="15" t="s">
        <v>115</v>
      </c>
    </row>
    <row r="60" spans="1:8" ht="30" hidden="1" x14ac:dyDescent="0.25">
      <c r="A60" s="1" t="str">
        <f t="shared" si="30"/>
        <v>G59</v>
      </c>
      <c r="B60" s="1" t="str">
        <f t="shared" si="33"/>
        <v>Goal</v>
      </c>
      <c r="C60" s="1" t="s">
        <v>84</v>
      </c>
      <c r="E60" s="1" t="s">
        <v>107</v>
      </c>
      <c r="F60" s="1" t="s">
        <v>8</v>
      </c>
      <c r="G60" s="13">
        <v>2</v>
      </c>
      <c r="H60" s="1" t="s">
        <v>113</v>
      </c>
    </row>
    <row r="61" spans="1:8" ht="30" hidden="1" x14ac:dyDescent="0.25">
      <c r="A61" s="1" t="str">
        <f t="shared" si="30"/>
        <v>R60</v>
      </c>
      <c r="B61" s="1" t="str">
        <f t="shared" si="31"/>
        <v>Risk</v>
      </c>
      <c r="C61" s="1" t="s">
        <v>84</v>
      </c>
      <c r="E61" s="1" t="s">
        <v>107</v>
      </c>
      <c r="F61" s="1" t="s">
        <v>4</v>
      </c>
      <c r="G61" s="13">
        <v>-2</v>
      </c>
      <c r="H61" s="15" t="s">
        <v>109</v>
      </c>
    </row>
    <row r="62" spans="1:8" hidden="1" x14ac:dyDescent="0.25">
      <c r="A62" s="1" t="str">
        <f t="shared" si="21"/>
        <v>G61</v>
      </c>
      <c r="B62" s="1" t="str">
        <f t="shared" si="2"/>
        <v>Goal</v>
      </c>
      <c r="E62" s="1" t="s">
        <v>42</v>
      </c>
      <c r="F62" s="1" t="s">
        <v>1</v>
      </c>
      <c r="G62" s="13">
        <v>1</v>
      </c>
      <c r="H62" s="1" t="s">
        <v>110</v>
      </c>
    </row>
    <row r="63" spans="1:8" ht="30" hidden="1" x14ac:dyDescent="0.25">
      <c r="A63" s="1" t="str">
        <f t="shared" si="21"/>
        <v>G62</v>
      </c>
      <c r="B63" s="1" t="str">
        <f t="shared" si="2"/>
        <v>Goal</v>
      </c>
      <c r="E63" s="1" t="s">
        <v>42</v>
      </c>
      <c r="F63" s="1" t="s">
        <v>5</v>
      </c>
      <c r="G63" s="13">
        <v>1</v>
      </c>
      <c r="H63" s="1" t="s">
        <v>111</v>
      </c>
    </row>
    <row r="64" spans="1:8" hidden="1" x14ac:dyDescent="0.25">
      <c r="A64" s="1" t="str">
        <f t="shared" si="21"/>
        <v>R63</v>
      </c>
      <c r="B64" s="1" t="str">
        <f t="shared" si="2"/>
        <v>Risk</v>
      </c>
      <c r="E64" s="1" t="s">
        <v>42</v>
      </c>
      <c r="F64" s="1" t="s">
        <v>4</v>
      </c>
      <c r="G64" s="13">
        <v>-1</v>
      </c>
      <c r="H64" s="1" t="s">
        <v>112</v>
      </c>
    </row>
    <row r="65" spans="1:8" ht="30" hidden="1" x14ac:dyDescent="0.25">
      <c r="A65" s="1" t="str">
        <f>IF(ISBLANK(G63),"",IF(G63&gt;0,"G","R")&amp;TEXT(ROW()-1,"00"))</f>
        <v>G64</v>
      </c>
      <c r="B65" s="1" t="s">
        <v>17</v>
      </c>
      <c r="E65" s="1" t="s">
        <v>52</v>
      </c>
      <c r="F65" s="1" t="s">
        <v>2</v>
      </c>
      <c r="G65" s="13">
        <v>1</v>
      </c>
      <c r="H65" s="1" t="s">
        <v>252</v>
      </c>
    </row>
    <row r="66" spans="1:8" hidden="1" x14ac:dyDescent="0.25">
      <c r="A66" s="1" t="str">
        <f>IF(ISBLANK(G26),"",IF(G26&gt;0,"G","R")&amp;TEXT(ROW()-1,"00"))</f>
        <v>G65</v>
      </c>
      <c r="B66" s="1" t="s">
        <v>17</v>
      </c>
      <c r="E66" s="1" t="s">
        <v>169</v>
      </c>
      <c r="F66" s="1" t="s">
        <v>0</v>
      </c>
      <c r="G66" s="13">
        <v>1</v>
      </c>
      <c r="H66" s="1" t="s">
        <v>253</v>
      </c>
    </row>
    <row r="67" spans="1:8" hidden="1" x14ac:dyDescent="0.25">
      <c r="A67" s="1" t="str">
        <f>IF(ISBLANK(G26),"",IF(G26&gt;0,"G","R")&amp;TEXT(ROW()-1,"00"))</f>
        <v>G66</v>
      </c>
      <c r="B67" s="1" t="s">
        <v>17</v>
      </c>
      <c r="E67" s="1" t="s">
        <v>169</v>
      </c>
      <c r="F67" s="1" t="s">
        <v>2</v>
      </c>
      <c r="G67" s="13">
        <v>1</v>
      </c>
      <c r="H67" s="1" t="s">
        <v>254</v>
      </c>
    </row>
    <row r="68" spans="1:8" ht="30" hidden="1" x14ac:dyDescent="0.25">
      <c r="A68" s="1" t="str">
        <f>IF(ISBLANK(G27),"",IF(G27&gt;0,"G","R")&amp;TEXT(ROW()-1,"00"))</f>
        <v>R67</v>
      </c>
      <c r="B68" s="1" t="s">
        <v>19</v>
      </c>
      <c r="E68" s="1" t="s">
        <v>169</v>
      </c>
      <c r="F68" s="1" t="s">
        <v>78</v>
      </c>
      <c r="G68" s="13">
        <v>-1</v>
      </c>
      <c r="H68" s="1" t="s">
        <v>255</v>
      </c>
    </row>
    <row r="69" spans="1:8" ht="30" x14ac:dyDescent="0.25">
      <c r="A69" s="1" t="str">
        <f>IF(ISBLANK(G33),"",IF(G33&gt;0,"G","R")&amp;TEXT(ROW()-1,"00"))</f>
        <v>R68</v>
      </c>
      <c r="B69" s="1" t="s">
        <v>19</v>
      </c>
      <c r="E69" s="1" t="s">
        <v>168</v>
      </c>
      <c r="F69" s="1" t="s">
        <v>1</v>
      </c>
      <c r="G69" s="13">
        <v>-2</v>
      </c>
      <c r="H69" s="1" t="s">
        <v>256</v>
      </c>
    </row>
    <row r="70" spans="1:8" hidden="1" x14ac:dyDescent="0.25">
      <c r="A70" s="1" t="str">
        <f t="shared" si="6"/>
        <v/>
      </c>
      <c r="B70" s="1" t="str">
        <f t="shared" si="2"/>
        <v/>
      </c>
      <c r="G70" s="13"/>
    </row>
    <row r="71" spans="1:8" hidden="1" x14ac:dyDescent="0.25">
      <c r="A71" s="1" t="str">
        <f t="shared" si="6"/>
        <v/>
      </c>
      <c r="B71" s="1" t="str">
        <f t="shared" si="2"/>
        <v/>
      </c>
      <c r="G71" s="13"/>
    </row>
    <row r="72" spans="1:8" hidden="1" x14ac:dyDescent="0.25">
      <c r="A72" s="1" t="str">
        <f t="shared" si="6"/>
        <v/>
      </c>
      <c r="B72" s="1" t="str">
        <f t="shared" si="2"/>
        <v/>
      </c>
      <c r="G72" s="13"/>
    </row>
    <row r="73" spans="1:8" hidden="1" x14ac:dyDescent="0.25">
      <c r="A73" s="1" t="str">
        <f t="shared" si="6"/>
        <v/>
      </c>
      <c r="B73" s="1" t="str">
        <f t="shared" si="2"/>
        <v/>
      </c>
      <c r="G73" s="13"/>
    </row>
    <row r="74" spans="1:8" hidden="1" x14ac:dyDescent="0.25">
      <c r="A74" s="1" t="str">
        <f t="shared" si="6"/>
        <v/>
      </c>
      <c r="B74" s="1" t="str">
        <f t="shared" si="2"/>
        <v/>
      </c>
      <c r="G74" s="13"/>
    </row>
    <row r="75" spans="1:8" hidden="1" x14ac:dyDescent="0.25">
      <c r="A75" s="1" t="str">
        <f t="shared" si="6"/>
        <v/>
      </c>
      <c r="B75" s="1" t="str">
        <f t="shared" ref="B75:B106" si="34">IF(LEN(A75)&gt;0,VLOOKUP(MID(A75,1,1),Abbreviations,2,FALSE),"")</f>
        <v/>
      </c>
      <c r="G75" s="13"/>
    </row>
    <row r="76" spans="1:8" hidden="1" x14ac:dyDescent="0.25">
      <c r="A76" s="1" t="str">
        <f t="shared" si="6"/>
        <v/>
      </c>
      <c r="B76" s="1" t="str">
        <f t="shared" si="34"/>
        <v/>
      </c>
      <c r="G76" s="13"/>
    </row>
    <row r="77" spans="1:8" hidden="1" x14ac:dyDescent="0.25">
      <c r="A77" s="1" t="str">
        <f t="shared" si="6"/>
        <v/>
      </c>
      <c r="B77" s="1" t="str">
        <f t="shared" si="34"/>
        <v/>
      </c>
      <c r="G77" s="13"/>
    </row>
    <row r="78" spans="1:8" hidden="1" x14ac:dyDescent="0.25">
      <c r="A78" s="1" t="str">
        <f t="shared" si="6"/>
        <v/>
      </c>
      <c r="B78" s="1" t="str">
        <f t="shared" si="34"/>
        <v/>
      </c>
      <c r="G78" s="13"/>
    </row>
    <row r="79" spans="1:8" hidden="1" x14ac:dyDescent="0.25">
      <c r="A79" s="1" t="str">
        <f t="shared" si="6"/>
        <v/>
      </c>
      <c r="B79" s="1" t="str">
        <f t="shared" si="34"/>
        <v/>
      </c>
    </row>
    <row r="80" spans="1:8" hidden="1" x14ac:dyDescent="0.25">
      <c r="A80" s="1" t="str">
        <f t="shared" si="6"/>
        <v/>
      </c>
      <c r="B80" s="1" t="str">
        <f t="shared" si="34"/>
        <v/>
      </c>
    </row>
    <row r="81" spans="1:2" hidden="1" x14ac:dyDescent="0.25">
      <c r="A81" s="1" t="str">
        <f t="shared" si="6"/>
        <v/>
      </c>
      <c r="B81" s="1" t="str">
        <f t="shared" si="34"/>
        <v/>
      </c>
    </row>
    <row r="82" spans="1:2" hidden="1" x14ac:dyDescent="0.25">
      <c r="A82" s="1" t="str">
        <f t="shared" si="6"/>
        <v/>
      </c>
      <c r="B82" s="1" t="str">
        <f t="shared" si="34"/>
        <v/>
      </c>
    </row>
    <row r="83" spans="1:2" hidden="1" x14ac:dyDescent="0.25">
      <c r="A83" s="1" t="str">
        <f t="shared" si="6"/>
        <v/>
      </c>
      <c r="B83" s="1" t="str">
        <f t="shared" si="34"/>
        <v/>
      </c>
    </row>
    <row r="84" spans="1:2" hidden="1" x14ac:dyDescent="0.25">
      <c r="A84" s="1" t="str">
        <f t="shared" si="6"/>
        <v/>
      </c>
      <c r="B84" s="1" t="str">
        <f t="shared" si="34"/>
        <v/>
      </c>
    </row>
    <row r="85" spans="1:2" hidden="1" x14ac:dyDescent="0.25">
      <c r="A85" s="1" t="str">
        <f t="shared" si="6"/>
        <v/>
      </c>
      <c r="B85" s="1" t="str">
        <f t="shared" si="34"/>
        <v/>
      </c>
    </row>
    <row r="86" spans="1:2" hidden="1" x14ac:dyDescent="0.25">
      <c r="A86" s="1" t="str">
        <f t="shared" si="6"/>
        <v/>
      </c>
      <c r="B86" s="1" t="str">
        <f t="shared" si="34"/>
        <v/>
      </c>
    </row>
    <row r="87" spans="1:2" hidden="1" x14ac:dyDescent="0.25">
      <c r="A87" s="1" t="str">
        <f t="shared" si="6"/>
        <v/>
      </c>
      <c r="B87" s="1" t="str">
        <f t="shared" si="34"/>
        <v/>
      </c>
    </row>
    <row r="88" spans="1:2" hidden="1" x14ac:dyDescent="0.25">
      <c r="A88" s="1" t="str">
        <f t="shared" si="6"/>
        <v/>
      </c>
      <c r="B88" s="1" t="str">
        <f t="shared" si="34"/>
        <v/>
      </c>
    </row>
    <row r="89" spans="1:2" hidden="1" x14ac:dyDescent="0.25">
      <c r="A89" s="1" t="str">
        <f t="shared" si="6"/>
        <v/>
      </c>
      <c r="B89" s="1" t="str">
        <f t="shared" si="34"/>
        <v/>
      </c>
    </row>
    <row r="90" spans="1:2" hidden="1" x14ac:dyDescent="0.25">
      <c r="A90" s="1" t="str">
        <f t="shared" si="6"/>
        <v/>
      </c>
      <c r="B90" s="1" t="str">
        <f t="shared" si="34"/>
        <v/>
      </c>
    </row>
    <row r="91" spans="1:2" hidden="1" x14ac:dyDescent="0.25">
      <c r="A91" s="1" t="str">
        <f t="shared" si="6"/>
        <v/>
      </c>
      <c r="B91" s="1" t="str">
        <f t="shared" si="34"/>
        <v/>
      </c>
    </row>
    <row r="92" spans="1:2" hidden="1" x14ac:dyDescent="0.25">
      <c r="A92" s="1" t="str">
        <f t="shared" si="6"/>
        <v/>
      </c>
      <c r="B92" s="1" t="str">
        <f t="shared" si="34"/>
        <v/>
      </c>
    </row>
    <row r="93" spans="1:2" hidden="1" x14ac:dyDescent="0.25">
      <c r="A93" s="1" t="str">
        <f t="shared" si="6"/>
        <v/>
      </c>
      <c r="B93" s="1" t="str">
        <f t="shared" si="34"/>
        <v/>
      </c>
    </row>
    <row r="94" spans="1:2" hidden="1" x14ac:dyDescent="0.25">
      <c r="A94" s="1" t="str">
        <f t="shared" si="6"/>
        <v/>
      </c>
      <c r="B94" s="1" t="str">
        <f t="shared" si="34"/>
        <v/>
      </c>
    </row>
    <row r="95" spans="1:2" hidden="1" x14ac:dyDescent="0.25">
      <c r="A95" s="1" t="str">
        <f t="shared" si="6"/>
        <v/>
      </c>
      <c r="B95" s="1" t="str">
        <f t="shared" si="34"/>
        <v/>
      </c>
    </row>
    <row r="96" spans="1:2" hidden="1" x14ac:dyDescent="0.25">
      <c r="A96" s="1" t="str">
        <f t="shared" si="6"/>
        <v/>
      </c>
      <c r="B96" s="1" t="str">
        <f t="shared" si="34"/>
        <v/>
      </c>
    </row>
    <row r="97" spans="1:2" hidden="1" x14ac:dyDescent="0.25">
      <c r="A97" s="1" t="str">
        <f t="shared" si="6"/>
        <v/>
      </c>
      <c r="B97" s="1" t="str">
        <f t="shared" si="34"/>
        <v/>
      </c>
    </row>
    <row r="98" spans="1:2" hidden="1" x14ac:dyDescent="0.25">
      <c r="A98" s="1" t="str">
        <f t="shared" si="6"/>
        <v/>
      </c>
      <c r="B98" s="1" t="str">
        <f t="shared" si="34"/>
        <v/>
      </c>
    </row>
    <row r="99" spans="1:2" hidden="1" x14ac:dyDescent="0.25">
      <c r="A99" s="1" t="str">
        <f t="shared" si="6"/>
        <v/>
      </c>
      <c r="B99" s="1" t="str">
        <f t="shared" si="34"/>
        <v/>
      </c>
    </row>
    <row r="100" spans="1:2" hidden="1" x14ac:dyDescent="0.25">
      <c r="A100" s="1" t="str">
        <f t="shared" si="6"/>
        <v/>
      </c>
      <c r="B100" s="1" t="str">
        <f t="shared" si="34"/>
        <v/>
      </c>
    </row>
    <row r="101" spans="1:2" hidden="1" x14ac:dyDescent="0.25">
      <c r="A101" s="1" t="str">
        <f t="shared" si="6"/>
        <v/>
      </c>
      <c r="B101" s="1" t="str">
        <f t="shared" si="34"/>
        <v/>
      </c>
    </row>
    <row r="102" spans="1:2" hidden="1" x14ac:dyDescent="0.25">
      <c r="A102" s="1" t="str">
        <f t="shared" si="6"/>
        <v/>
      </c>
      <c r="B102" s="1" t="str">
        <f t="shared" si="34"/>
        <v/>
      </c>
    </row>
    <row r="103" spans="1:2" hidden="1" x14ac:dyDescent="0.25">
      <c r="A103" s="1" t="str">
        <f t="shared" si="6"/>
        <v/>
      </c>
      <c r="B103" s="1" t="str">
        <f t="shared" si="34"/>
        <v/>
      </c>
    </row>
    <row r="104" spans="1:2" hidden="1" x14ac:dyDescent="0.25">
      <c r="A104" s="1" t="str">
        <f t="shared" si="6"/>
        <v/>
      </c>
      <c r="B104" s="1" t="str">
        <f t="shared" si="34"/>
        <v/>
      </c>
    </row>
    <row r="105" spans="1:2" hidden="1" x14ac:dyDescent="0.25">
      <c r="A105" s="1" t="str">
        <f t="shared" si="6"/>
        <v/>
      </c>
      <c r="B105" s="1" t="str">
        <f t="shared" si="34"/>
        <v/>
      </c>
    </row>
    <row r="106" spans="1:2" hidden="1" x14ac:dyDescent="0.25">
      <c r="A106" s="1" t="str">
        <f t="shared" si="6"/>
        <v/>
      </c>
      <c r="B106" s="1" t="str">
        <f t="shared" si="34"/>
        <v/>
      </c>
    </row>
    <row r="107" spans="1:2" hidden="1" x14ac:dyDescent="0.25">
      <c r="A107" s="1" t="str">
        <f t="shared" ref="A107:A159" si="35">IF(ISBLANK(G107),"",IF(G107&gt;0,"G","R")&amp;TEXT(ROW()-1,"00"))</f>
        <v/>
      </c>
      <c r="B107" s="1" t="str">
        <f t="shared" ref="B107:B138" si="36">IF(LEN(A107)&gt;0,VLOOKUP(MID(A107,1,1),Abbreviations,2,FALSE),"")</f>
        <v/>
      </c>
    </row>
    <row r="108" spans="1:2" hidden="1" x14ac:dyDescent="0.25">
      <c r="A108" s="1" t="str">
        <f t="shared" si="35"/>
        <v/>
      </c>
      <c r="B108" s="1" t="str">
        <f t="shared" si="36"/>
        <v/>
      </c>
    </row>
    <row r="109" spans="1:2" hidden="1" x14ac:dyDescent="0.25">
      <c r="A109" s="1" t="str">
        <f t="shared" si="35"/>
        <v/>
      </c>
      <c r="B109" s="1" t="str">
        <f t="shared" si="36"/>
        <v/>
      </c>
    </row>
    <row r="110" spans="1:2" hidden="1" x14ac:dyDescent="0.25">
      <c r="A110" s="1" t="str">
        <f t="shared" si="35"/>
        <v/>
      </c>
      <c r="B110" s="1" t="str">
        <f t="shared" si="36"/>
        <v/>
      </c>
    </row>
    <row r="111" spans="1:2" hidden="1" x14ac:dyDescent="0.25">
      <c r="A111" s="1" t="str">
        <f t="shared" si="35"/>
        <v/>
      </c>
      <c r="B111" s="1" t="str">
        <f t="shared" si="36"/>
        <v/>
      </c>
    </row>
    <row r="112" spans="1:2" hidden="1" x14ac:dyDescent="0.25">
      <c r="A112" s="1" t="str">
        <f t="shared" si="35"/>
        <v/>
      </c>
      <c r="B112" s="1" t="str">
        <f t="shared" si="36"/>
        <v/>
      </c>
    </row>
    <row r="113" spans="1:2" hidden="1" x14ac:dyDescent="0.25">
      <c r="A113" s="1" t="str">
        <f t="shared" si="35"/>
        <v/>
      </c>
      <c r="B113" s="1" t="str">
        <f t="shared" si="36"/>
        <v/>
      </c>
    </row>
    <row r="114" spans="1:2" hidden="1" x14ac:dyDescent="0.25">
      <c r="A114" s="1" t="str">
        <f t="shared" si="35"/>
        <v/>
      </c>
      <c r="B114" s="1" t="str">
        <f t="shared" si="36"/>
        <v/>
      </c>
    </row>
    <row r="115" spans="1:2" hidden="1" x14ac:dyDescent="0.25">
      <c r="A115" s="1" t="str">
        <f t="shared" si="35"/>
        <v/>
      </c>
      <c r="B115" s="1" t="str">
        <f t="shared" si="36"/>
        <v/>
      </c>
    </row>
    <row r="116" spans="1:2" hidden="1" x14ac:dyDescent="0.25">
      <c r="A116" s="1" t="str">
        <f t="shared" si="35"/>
        <v/>
      </c>
      <c r="B116" s="1" t="str">
        <f t="shared" si="36"/>
        <v/>
      </c>
    </row>
    <row r="117" spans="1:2" hidden="1" x14ac:dyDescent="0.25">
      <c r="A117" s="1" t="str">
        <f t="shared" si="35"/>
        <v/>
      </c>
      <c r="B117" s="1" t="str">
        <f t="shared" si="36"/>
        <v/>
      </c>
    </row>
    <row r="118" spans="1:2" hidden="1" x14ac:dyDescent="0.25">
      <c r="A118" s="1" t="str">
        <f t="shared" si="35"/>
        <v/>
      </c>
      <c r="B118" s="1" t="str">
        <f t="shared" si="36"/>
        <v/>
      </c>
    </row>
    <row r="119" spans="1:2" hidden="1" x14ac:dyDescent="0.25">
      <c r="A119" s="1" t="str">
        <f t="shared" si="35"/>
        <v/>
      </c>
      <c r="B119" s="1" t="str">
        <f t="shared" si="36"/>
        <v/>
      </c>
    </row>
    <row r="120" spans="1:2" hidden="1" x14ac:dyDescent="0.25">
      <c r="A120" s="1" t="str">
        <f t="shared" si="35"/>
        <v/>
      </c>
      <c r="B120" s="1" t="str">
        <f t="shared" si="36"/>
        <v/>
      </c>
    </row>
    <row r="121" spans="1:2" hidden="1" x14ac:dyDescent="0.25">
      <c r="A121" s="1" t="str">
        <f t="shared" si="35"/>
        <v/>
      </c>
      <c r="B121" s="1" t="str">
        <f t="shared" si="36"/>
        <v/>
      </c>
    </row>
    <row r="122" spans="1:2" hidden="1" x14ac:dyDescent="0.25">
      <c r="A122" s="1" t="str">
        <f t="shared" si="35"/>
        <v/>
      </c>
      <c r="B122" s="1" t="str">
        <f t="shared" si="36"/>
        <v/>
      </c>
    </row>
    <row r="123" spans="1:2" hidden="1" x14ac:dyDescent="0.25">
      <c r="A123" s="1" t="str">
        <f t="shared" si="35"/>
        <v/>
      </c>
      <c r="B123" s="1" t="str">
        <f t="shared" si="36"/>
        <v/>
      </c>
    </row>
    <row r="124" spans="1:2" hidden="1" x14ac:dyDescent="0.25">
      <c r="A124" s="1" t="str">
        <f t="shared" si="35"/>
        <v/>
      </c>
      <c r="B124" s="1" t="str">
        <f t="shared" si="36"/>
        <v/>
      </c>
    </row>
    <row r="125" spans="1:2" hidden="1" x14ac:dyDescent="0.25">
      <c r="A125" s="1" t="str">
        <f t="shared" si="35"/>
        <v/>
      </c>
      <c r="B125" s="1" t="str">
        <f t="shared" si="36"/>
        <v/>
      </c>
    </row>
    <row r="126" spans="1:2" hidden="1" x14ac:dyDescent="0.25">
      <c r="A126" s="1" t="str">
        <f t="shared" si="35"/>
        <v/>
      </c>
      <c r="B126" s="1" t="str">
        <f t="shared" si="36"/>
        <v/>
      </c>
    </row>
    <row r="127" spans="1:2" hidden="1" x14ac:dyDescent="0.25">
      <c r="A127" s="1" t="str">
        <f t="shared" si="35"/>
        <v/>
      </c>
      <c r="B127" s="1" t="str">
        <f t="shared" si="36"/>
        <v/>
      </c>
    </row>
    <row r="128" spans="1:2" hidden="1" x14ac:dyDescent="0.25">
      <c r="A128" s="1" t="str">
        <f t="shared" si="35"/>
        <v/>
      </c>
      <c r="B128" s="1" t="str">
        <f t="shared" si="36"/>
        <v/>
      </c>
    </row>
    <row r="129" spans="1:2" hidden="1" x14ac:dyDescent="0.25">
      <c r="A129" s="1" t="str">
        <f t="shared" si="35"/>
        <v/>
      </c>
      <c r="B129" s="1" t="str">
        <f t="shared" si="36"/>
        <v/>
      </c>
    </row>
    <row r="130" spans="1:2" hidden="1" x14ac:dyDescent="0.25">
      <c r="A130" s="1" t="str">
        <f t="shared" si="35"/>
        <v/>
      </c>
      <c r="B130" s="1" t="str">
        <f t="shared" si="36"/>
        <v/>
      </c>
    </row>
    <row r="131" spans="1:2" hidden="1" x14ac:dyDescent="0.25">
      <c r="A131" s="1" t="str">
        <f t="shared" si="35"/>
        <v/>
      </c>
      <c r="B131" s="1" t="str">
        <f t="shared" si="36"/>
        <v/>
      </c>
    </row>
    <row r="132" spans="1:2" hidden="1" x14ac:dyDescent="0.25">
      <c r="A132" s="1" t="str">
        <f t="shared" si="35"/>
        <v/>
      </c>
      <c r="B132" s="1" t="str">
        <f t="shared" si="36"/>
        <v/>
      </c>
    </row>
    <row r="133" spans="1:2" hidden="1" x14ac:dyDescent="0.25">
      <c r="A133" s="1" t="str">
        <f t="shared" si="35"/>
        <v/>
      </c>
      <c r="B133" s="1" t="str">
        <f t="shared" si="36"/>
        <v/>
      </c>
    </row>
    <row r="134" spans="1:2" hidden="1" x14ac:dyDescent="0.25">
      <c r="A134" s="1" t="str">
        <f t="shared" si="35"/>
        <v/>
      </c>
      <c r="B134" s="1" t="str">
        <f t="shared" si="36"/>
        <v/>
      </c>
    </row>
    <row r="135" spans="1:2" hidden="1" x14ac:dyDescent="0.25">
      <c r="A135" s="1" t="str">
        <f t="shared" si="35"/>
        <v/>
      </c>
      <c r="B135" s="1" t="str">
        <f t="shared" si="36"/>
        <v/>
      </c>
    </row>
    <row r="136" spans="1:2" hidden="1" x14ac:dyDescent="0.25">
      <c r="A136" s="1" t="str">
        <f t="shared" si="35"/>
        <v/>
      </c>
      <c r="B136" s="1" t="str">
        <f t="shared" si="36"/>
        <v/>
      </c>
    </row>
    <row r="137" spans="1:2" hidden="1" x14ac:dyDescent="0.25">
      <c r="A137" s="1" t="str">
        <f t="shared" si="35"/>
        <v/>
      </c>
      <c r="B137" s="1" t="str">
        <f t="shared" si="36"/>
        <v/>
      </c>
    </row>
    <row r="138" spans="1:2" hidden="1" x14ac:dyDescent="0.25">
      <c r="A138" s="1" t="str">
        <f t="shared" si="35"/>
        <v/>
      </c>
      <c r="B138" s="1" t="str">
        <f t="shared" si="36"/>
        <v/>
      </c>
    </row>
    <row r="139" spans="1:2" hidden="1" x14ac:dyDescent="0.25">
      <c r="A139" s="1" t="str">
        <f t="shared" si="35"/>
        <v/>
      </c>
      <c r="B139" s="1" t="str">
        <f t="shared" ref="B139:B159" si="37">IF(LEN(A139)&gt;0,VLOOKUP(MID(A139,1,1),Abbreviations,2,FALSE),"")</f>
        <v/>
      </c>
    </row>
    <row r="140" spans="1:2" hidden="1" x14ac:dyDescent="0.25">
      <c r="A140" s="1" t="str">
        <f t="shared" si="35"/>
        <v/>
      </c>
      <c r="B140" s="1" t="str">
        <f t="shared" si="37"/>
        <v/>
      </c>
    </row>
    <row r="141" spans="1:2" hidden="1" x14ac:dyDescent="0.25">
      <c r="A141" s="1" t="str">
        <f t="shared" si="35"/>
        <v/>
      </c>
      <c r="B141" s="1" t="str">
        <f t="shared" si="37"/>
        <v/>
      </c>
    </row>
    <row r="142" spans="1:2" hidden="1" x14ac:dyDescent="0.25">
      <c r="A142" s="1" t="str">
        <f t="shared" si="35"/>
        <v/>
      </c>
      <c r="B142" s="1" t="str">
        <f t="shared" si="37"/>
        <v/>
      </c>
    </row>
    <row r="143" spans="1:2" hidden="1" x14ac:dyDescent="0.25">
      <c r="A143" s="1" t="str">
        <f t="shared" si="35"/>
        <v/>
      </c>
      <c r="B143" s="1" t="str">
        <f t="shared" si="37"/>
        <v/>
      </c>
    </row>
    <row r="144" spans="1:2" hidden="1" x14ac:dyDescent="0.25">
      <c r="A144" s="1" t="str">
        <f t="shared" si="35"/>
        <v/>
      </c>
      <c r="B144" s="1" t="str">
        <f t="shared" si="37"/>
        <v/>
      </c>
    </row>
    <row r="145" spans="1:2" hidden="1" x14ac:dyDescent="0.25">
      <c r="A145" s="1" t="str">
        <f t="shared" si="35"/>
        <v/>
      </c>
      <c r="B145" s="1" t="str">
        <f t="shared" si="37"/>
        <v/>
      </c>
    </row>
    <row r="146" spans="1:2" hidden="1" x14ac:dyDescent="0.25">
      <c r="A146" s="1" t="str">
        <f t="shared" si="35"/>
        <v/>
      </c>
      <c r="B146" s="1" t="str">
        <f t="shared" si="37"/>
        <v/>
      </c>
    </row>
    <row r="147" spans="1:2" hidden="1" x14ac:dyDescent="0.25">
      <c r="A147" s="1" t="str">
        <f t="shared" si="35"/>
        <v/>
      </c>
      <c r="B147" s="1" t="str">
        <f t="shared" si="37"/>
        <v/>
      </c>
    </row>
    <row r="148" spans="1:2" hidden="1" x14ac:dyDescent="0.25">
      <c r="A148" s="1" t="str">
        <f t="shared" si="35"/>
        <v/>
      </c>
      <c r="B148" s="1" t="str">
        <f t="shared" si="37"/>
        <v/>
      </c>
    </row>
    <row r="149" spans="1:2" hidden="1" x14ac:dyDescent="0.25">
      <c r="A149" s="1" t="str">
        <f t="shared" si="35"/>
        <v/>
      </c>
      <c r="B149" s="1" t="str">
        <f t="shared" si="37"/>
        <v/>
      </c>
    </row>
    <row r="150" spans="1:2" hidden="1" x14ac:dyDescent="0.25">
      <c r="A150" s="1" t="str">
        <f t="shared" si="35"/>
        <v/>
      </c>
      <c r="B150" s="1" t="str">
        <f t="shared" si="37"/>
        <v/>
      </c>
    </row>
    <row r="151" spans="1:2" hidden="1" x14ac:dyDescent="0.25">
      <c r="A151" s="1" t="str">
        <f t="shared" si="35"/>
        <v/>
      </c>
      <c r="B151" s="1" t="str">
        <f t="shared" si="37"/>
        <v/>
      </c>
    </row>
    <row r="152" spans="1:2" hidden="1" x14ac:dyDescent="0.25">
      <c r="A152" s="1" t="str">
        <f t="shared" si="35"/>
        <v/>
      </c>
      <c r="B152" s="1" t="str">
        <f t="shared" si="37"/>
        <v/>
      </c>
    </row>
    <row r="153" spans="1:2" hidden="1" x14ac:dyDescent="0.25">
      <c r="A153" s="1" t="str">
        <f t="shared" si="35"/>
        <v/>
      </c>
      <c r="B153" s="1" t="str">
        <f t="shared" si="37"/>
        <v/>
      </c>
    </row>
    <row r="154" spans="1:2" hidden="1" x14ac:dyDescent="0.25">
      <c r="A154" s="1" t="str">
        <f t="shared" si="35"/>
        <v/>
      </c>
      <c r="B154" s="1" t="str">
        <f t="shared" si="37"/>
        <v/>
      </c>
    </row>
    <row r="155" spans="1:2" hidden="1" x14ac:dyDescent="0.25">
      <c r="A155" s="1" t="str">
        <f t="shared" si="35"/>
        <v/>
      </c>
      <c r="B155" s="1" t="str">
        <f t="shared" si="37"/>
        <v/>
      </c>
    </row>
    <row r="156" spans="1:2" hidden="1" x14ac:dyDescent="0.25">
      <c r="A156" s="1" t="str">
        <f t="shared" si="35"/>
        <v/>
      </c>
      <c r="B156" s="1" t="str">
        <f t="shared" si="37"/>
        <v/>
      </c>
    </row>
    <row r="157" spans="1:2" hidden="1" x14ac:dyDescent="0.25">
      <c r="A157" s="1" t="str">
        <f t="shared" si="35"/>
        <v/>
      </c>
      <c r="B157" s="1" t="str">
        <f t="shared" si="37"/>
        <v/>
      </c>
    </row>
    <row r="158" spans="1:2" hidden="1" x14ac:dyDescent="0.25">
      <c r="A158" s="1" t="str">
        <f t="shared" si="35"/>
        <v/>
      </c>
      <c r="B158" s="1" t="str">
        <f t="shared" si="37"/>
        <v/>
      </c>
    </row>
    <row r="159" spans="1:2" hidden="1" x14ac:dyDescent="0.25">
      <c r="A159" s="1" t="str">
        <f t="shared" si="35"/>
        <v/>
      </c>
      <c r="B159" s="1" t="str">
        <f t="shared" si="37"/>
        <v/>
      </c>
    </row>
    <row r="160" spans="1:2" hidden="1" x14ac:dyDescent="0.25"/>
    <row r="161" hidden="1" x14ac:dyDescent="0.25"/>
    <row r="162" hidden="1" x14ac:dyDescent="0.25"/>
    <row r="163" hidden="1" x14ac:dyDescent="0.25"/>
    <row r="164" hidden="1" x14ac:dyDescent="0.25"/>
  </sheetData>
  <sheetProtection formatColumns="0" formatRows="0"/>
  <autoFilter ref="A1:H164" xr:uid="{00000000-0009-0000-0000-000001000000}">
    <filterColumn colId="4">
      <filters>
        <filter val="Location with Alert Button"/>
      </filters>
    </filterColumn>
  </autoFilter>
  <conditionalFormatting sqref="G5:G52 G54:G140">
    <cfRule type="colorScale" priority="5">
      <colorScale>
        <cfvo type="num" val="-2"/>
        <cfvo type="num" val="0"/>
        <cfvo type="num" val="2"/>
        <color rgb="FFF8696B"/>
        <color rgb="FFFCFCFF"/>
        <color rgb="FF63BE7B"/>
      </colorScale>
    </cfRule>
  </conditionalFormatting>
  <conditionalFormatting sqref="G2:G3">
    <cfRule type="colorScale" priority="3">
      <colorScale>
        <cfvo type="num" val="-2"/>
        <cfvo type="num" val="0"/>
        <cfvo type="num" val="2"/>
        <color rgb="FFF8696B"/>
        <color rgb="FFFCFCFF"/>
        <color rgb="FF63BE7B"/>
      </colorScale>
    </cfRule>
  </conditionalFormatting>
  <conditionalFormatting sqref="G53">
    <cfRule type="colorScale" priority="2">
      <colorScale>
        <cfvo type="num" val="-2"/>
        <cfvo type="num" val="0"/>
        <cfvo type="num" val="2"/>
        <color rgb="FFF8696B"/>
        <color rgb="FFFCFCFF"/>
        <color rgb="FF63BE7B"/>
      </colorScale>
    </cfRule>
  </conditionalFormatting>
  <conditionalFormatting sqref="G4">
    <cfRule type="colorScale" priority="1">
      <colorScale>
        <cfvo type="num" val="-2"/>
        <cfvo type="num" val="0"/>
        <cfvo type="num" val="2"/>
        <color rgb="FFF8696B"/>
        <color rgb="FFFCFCFF"/>
        <color rgb="FF63BE7B"/>
      </colorScale>
    </cfRule>
  </conditionalFormatting>
  <dataValidations count="4">
    <dataValidation type="list" allowBlank="1" showInputMessage="1" showErrorMessage="1" error="Bitte gültigen Typ eingeben!" sqref="F5:F6" xr:uid="{00000000-0002-0000-0100-000000000000}">
      <formula1>Dimensions</formula1>
    </dataValidation>
    <dataValidation type="list" allowBlank="1" showInputMessage="1" showErrorMessage="1" sqref="F2:F4 F7:F158 F69" xr:uid="{00000000-0002-0000-0100-000001000000}">
      <formula1>Dimensions</formula1>
    </dataValidation>
    <dataValidation type="list" allowBlank="1" showInputMessage="1" showErrorMessage="1" sqref="C2:D13 C17:D158" xr:uid="{00000000-0002-0000-0100-000002000000}">
      <formula1>Scenarios</formula1>
    </dataValidation>
    <dataValidation type="list" allowBlank="1" showInputMessage="1" showErrorMessage="1" sqref="E2:E66 E69:E159" xr:uid="{00000000-0002-0000-0100-000003000000}">
      <formula1>Stakeholders</formula1>
    </dataValidation>
  </dataValidations>
  <pageMargins left="0.7" right="0.7" top="0.78740157499999996" bottom="0.78740157499999996" header="0.3" footer="0.3"/>
  <pageSetup paperSize="9" orientation="portrait" horizontalDpi="4294967293" verticalDpi="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9"/>
  <dimension ref="A1:KN1000"/>
  <sheetViews>
    <sheetView topLeftCell="A10" zoomScaleNormal="100" workbookViewId="0">
      <selection activeCell="B14" sqref="B14"/>
    </sheetView>
  </sheetViews>
  <sheetFormatPr baseColWidth="10" defaultColWidth="11.5703125" defaultRowHeight="15" x14ac:dyDescent="0.25"/>
  <cols>
    <col min="1" max="1" width="6.5703125" style="10" customWidth="1"/>
    <col min="2" max="2" width="55.7109375" style="1" customWidth="1"/>
    <col min="3" max="3" width="9.85546875" style="1" customWidth="1"/>
    <col min="4" max="4" width="4.85546875" style="1" customWidth="1"/>
    <col min="5" max="40" width="4.7109375" style="1" customWidth="1"/>
    <col min="41" max="64" width="4.85546875" style="1" customWidth="1"/>
    <col min="65" max="78" width="5.42578125" style="1" customWidth="1"/>
    <col min="79" max="16384" width="11.5703125" style="1"/>
  </cols>
  <sheetData>
    <row r="1" spans="1:300" s="58" customFormat="1" ht="7.15" customHeight="1" x14ac:dyDescent="0.25">
      <c r="A1" s="57"/>
    </row>
    <row r="2" spans="1:300" s="21" customFormat="1" ht="9.6" customHeight="1" thickBot="1" x14ac:dyDescent="0.3">
      <c r="A2" s="60"/>
      <c r="B2" s="23"/>
      <c r="C2" s="23"/>
      <c r="D2" s="23"/>
      <c r="E2" s="23"/>
      <c r="F2" s="23"/>
      <c r="G2" s="23"/>
      <c r="H2" s="23"/>
      <c r="I2" s="23"/>
      <c r="J2" s="23"/>
      <c r="K2" s="23"/>
      <c r="L2" s="23"/>
      <c r="M2" s="23"/>
      <c r="N2" s="23"/>
      <c r="O2" s="23"/>
      <c r="P2" s="23"/>
      <c r="Q2" s="23"/>
      <c r="R2" s="23"/>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row>
    <row r="3" spans="1:300" s="21" customFormat="1" ht="15.75" thickBot="1" x14ac:dyDescent="0.3">
      <c r="A3" s="61">
        <v>9</v>
      </c>
      <c r="B3" s="23"/>
      <c r="C3" s="24" t="s">
        <v>122</v>
      </c>
      <c r="D3" s="23"/>
      <c r="E3" s="73" t="s">
        <v>42</v>
      </c>
      <c r="F3" s="74"/>
      <c r="G3" s="74"/>
      <c r="H3" s="74"/>
      <c r="I3" s="75"/>
      <c r="J3" s="23"/>
      <c r="K3" s="24" t="s">
        <v>123</v>
      </c>
      <c r="L3" s="23"/>
      <c r="M3" s="23"/>
      <c r="N3" s="73"/>
      <c r="O3" s="74"/>
      <c r="P3" s="74"/>
      <c r="Q3" s="75"/>
      <c r="R3" s="23"/>
      <c r="S3" s="59"/>
      <c r="T3" s="59"/>
      <c r="U3" s="59"/>
      <c r="V3" s="59"/>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row>
    <row r="4" spans="1:300" s="21" customFormat="1" ht="8.4499999999999993" customHeight="1" x14ac:dyDescent="0.25">
      <c r="A4" s="60"/>
      <c r="B4" s="23"/>
      <c r="C4" s="24"/>
      <c r="D4" s="23"/>
      <c r="E4" s="25"/>
      <c r="F4" s="25"/>
      <c r="G4" s="25"/>
      <c r="H4" s="25"/>
      <c r="I4" s="25"/>
      <c r="J4" s="25"/>
      <c r="K4" s="25"/>
      <c r="L4" s="25"/>
      <c r="M4" s="25"/>
      <c r="N4" s="25"/>
      <c r="O4" s="25"/>
      <c r="P4" s="25"/>
      <c r="Q4" s="25"/>
      <c r="R4" s="25"/>
      <c r="S4" s="59"/>
      <c r="T4" s="59"/>
      <c r="U4" s="59"/>
      <c r="V4" s="59"/>
      <c r="W4" s="5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59"/>
      <c r="BB4" s="59"/>
    </row>
    <row r="5" spans="1:300" s="59" customFormat="1" ht="15" customHeight="1" x14ac:dyDescent="0.25">
      <c r="A5" s="60"/>
      <c r="D5" s="62">
        <v>1</v>
      </c>
      <c r="E5" s="62">
        <f>D5+1</f>
        <v>2</v>
      </c>
      <c r="F5" s="62">
        <f t="shared" ref="F5:AB5" si="0">E5+1</f>
        <v>3</v>
      </c>
      <c r="G5" s="62">
        <f t="shared" si="0"/>
        <v>4</v>
      </c>
      <c r="H5" s="62">
        <f t="shared" si="0"/>
        <v>5</v>
      </c>
      <c r="I5" s="62">
        <f t="shared" si="0"/>
        <v>6</v>
      </c>
      <c r="J5" s="62">
        <f t="shared" si="0"/>
        <v>7</v>
      </c>
      <c r="K5" s="62">
        <f t="shared" si="0"/>
        <v>8</v>
      </c>
      <c r="L5" s="62">
        <f t="shared" si="0"/>
        <v>9</v>
      </c>
      <c r="M5" s="62">
        <f t="shared" si="0"/>
        <v>10</v>
      </c>
      <c r="N5" s="62">
        <f t="shared" si="0"/>
        <v>11</v>
      </c>
      <c r="O5" s="62">
        <f t="shared" si="0"/>
        <v>12</v>
      </c>
      <c r="P5" s="62">
        <f t="shared" si="0"/>
        <v>13</v>
      </c>
      <c r="Q5" s="62">
        <f t="shared" si="0"/>
        <v>14</v>
      </c>
      <c r="R5" s="62">
        <f t="shared" si="0"/>
        <v>15</v>
      </c>
      <c r="S5" s="62">
        <f t="shared" si="0"/>
        <v>16</v>
      </c>
      <c r="T5" s="62">
        <f t="shared" si="0"/>
        <v>17</v>
      </c>
      <c r="U5" s="62">
        <f t="shared" si="0"/>
        <v>18</v>
      </c>
      <c r="V5" s="62">
        <f t="shared" si="0"/>
        <v>19</v>
      </c>
      <c r="W5" s="62">
        <f t="shared" si="0"/>
        <v>20</v>
      </c>
      <c r="X5" s="62">
        <f t="shared" si="0"/>
        <v>21</v>
      </c>
      <c r="Y5" s="62">
        <f t="shared" si="0"/>
        <v>22</v>
      </c>
      <c r="Z5" s="62">
        <f t="shared" si="0"/>
        <v>23</v>
      </c>
      <c r="AA5" s="62">
        <f t="shared" si="0"/>
        <v>24</v>
      </c>
      <c r="AB5" s="62">
        <f t="shared" si="0"/>
        <v>25</v>
      </c>
    </row>
    <row r="6" spans="1:300" ht="22.9" customHeight="1" thickBot="1" x14ac:dyDescent="0.3">
      <c r="A6" s="22" t="s">
        <v>30</v>
      </c>
      <c r="B6" s="2" t="s">
        <v>116</v>
      </c>
      <c r="C6" s="2" t="s">
        <v>15</v>
      </c>
      <c r="D6" s="63" t="s">
        <v>267</v>
      </c>
      <c r="E6" s="63" t="s">
        <v>268</v>
      </c>
      <c r="F6" s="64" t="s">
        <v>269</v>
      </c>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s="27"/>
      <c r="CB6" s="27"/>
      <c r="CC6" s="27"/>
      <c r="CD6" s="27"/>
      <c r="CE6" s="27"/>
      <c r="CF6" s="27"/>
      <c r="CG6" s="27"/>
      <c r="CH6" s="27"/>
      <c r="CI6" s="27"/>
      <c r="CJ6" s="27"/>
      <c r="CK6" s="27"/>
      <c r="CL6" s="27"/>
      <c r="CM6" s="27"/>
      <c r="CN6" s="27"/>
      <c r="CO6" s="27"/>
      <c r="CP6" s="27"/>
      <c r="CQ6" s="27"/>
      <c r="CR6" s="27"/>
      <c r="CS6" s="27"/>
      <c r="CT6" s="27"/>
      <c r="CU6" s="27"/>
      <c r="CV6" s="27"/>
      <c r="CW6" s="27"/>
      <c r="CX6" s="27"/>
      <c r="CY6" s="15"/>
      <c r="CZ6" s="15"/>
      <c r="DA6" s="15"/>
      <c r="DB6" s="15"/>
      <c r="DC6" s="15"/>
      <c r="DD6" s="15"/>
      <c r="DE6" s="15"/>
      <c r="DF6" s="15"/>
      <c r="DG6" s="15"/>
      <c r="DH6" s="15"/>
      <c r="DI6" s="15"/>
      <c r="DJ6" s="15"/>
      <c r="DK6" s="15"/>
      <c r="DL6" s="15"/>
      <c r="DM6" s="15"/>
      <c r="DN6" s="15"/>
      <c r="DO6" s="15"/>
      <c r="DP6" s="15"/>
      <c r="DQ6" s="15"/>
      <c r="DR6" s="15"/>
      <c r="DS6" s="15"/>
      <c r="DT6" s="15"/>
      <c r="DU6" s="15"/>
      <c r="DV6" s="15"/>
      <c r="DW6" s="15"/>
      <c r="DX6" s="15"/>
      <c r="DY6" s="15"/>
      <c r="DZ6" s="15"/>
      <c r="EA6" s="15"/>
      <c r="EB6" s="15"/>
      <c r="EC6" s="15"/>
      <c r="ED6" s="15"/>
      <c r="EE6" s="15"/>
      <c r="EF6" s="15"/>
      <c r="EG6" s="15"/>
      <c r="EH6" s="15"/>
      <c r="EI6" s="15"/>
      <c r="EJ6" s="15"/>
      <c r="EK6" s="15"/>
      <c r="EL6" s="15"/>
      <c r="EM6" s="15"/>
      <c r="EN6" s="15"/>
      <c r="EO6" s="15"/>
      <c r="EP6" s="15"/>
      <c r="EQ6" s="15"/>
      <c r="ER6" s="15"/>
      <c r="ES6" s="15"/>
      <c r="ET6" s="15"/>
      <c r="EU6" s="15"/>
      <c r="EV6" s="15"/>
      <c r="EW6" s="15"/>
      <c r="EX6" s="15"/>
      <c r="EY6" s="15"/>
      <c r="EZ6" s="15"/>
      <c r="FA6" s="15"/>
      <c r="FB6" s="15"/>
      <c r="FC6" s="15"/>
      <c r="FD6" s="15"/>
      <c r="FE6" s="15"/>
      <c r="FF6" s="15"/>
      <c r="FG6" s="15"/>
      <c r="FH6" s="15"/>
      <c r="FI6" s="15"/>
      <c r="FJ6" s="15"/>
      <c r="FK6" s="15"/>
      <c r="FL6" s="15"/>
      <c r="FM6" s="15"/>
      <c r="FN6" s="15"/>
      <c r="FO6" s="15"/>
      <c r="FP6" s="15"/>
      <c r="FQ6" s="15"/>
      <c r="FR6" s="15"/>
      <c r="FS6" s="15"/>
      <c r="FT6" s="15"/>
      <c r="FU6" s="15"/>
      <c r="FV6" s="15"/>
      <c r="FW6" s="15"/>
      <c r="FX6" s="15"/>
      <c r="FY6" s="15"/>
      <c r="FZ6" s="15"/>
      <c r="GA6" s="15"/>
      <c r="GB6" s="15"/>
      <c r="GC6" s="15"/>
      <c r="GD6" s="15"/>
      <c r="GE6" s="15"/>
      <c r="GF6" s="15"/>
      <c r="GG6" s="15"/>
      <c r="GH6" s="15"/>
      <c r="GI6" s="15"/>
      <c r="GJ6" s="15"/>
      <c r="GK6" s="15"/>
      <c r="GL6" s="15"/>
      <c r="GM6" s="15"/>
      <c r="GN6" s="15"/>
      <c r="GO6" s="15"/>
      <c r="GP6" s="15"/>
      <c r="GQ6" s="15"/>
      <c r="GR6" s="15"/>
      <c r="GS6" s="15"/>
      <c r="GT6" s="15"/>
      <c r="GU6" s="15"/>
      <c r="GV6" s="15"/>
      <c r="GW6" s="15"/>
      <c r="GX6" s="15"/>
      <c r="GY6" s="15"/>
      <c r="GZ6" s="15"/>
      <c r="HA6" s="15"/>
      <c r="HB6" s="15"/>
      <c r="HC6" s="15"/>
      <c r="HD6" s="15"/>
      <c r="HE6" s="15"/>
      <c r="HF6" s="15"/>
      <c r="HG6" s="15"/>
      <c r="HH6" s="15"/>
      <c r="HI6" s="15"/>
      <c r="HJ6" s="15"/>
      <c r="HK6" s="15"/>
      <c r="HL6" s="15"/>
      <c r="HM6" s="15"/>
      <c r="HN6" s="15"/>
      <c r="HO6" s="15"/>
      <c r="HP6" s="15"/>
      <c r="HQ6" s="15"/>
      <c r="HR6" s="15"/>
      <c r="HS6" s="15"/>
      <c r="HT6" s="15"/>
      <c r="HU6" s="15"/>
      <c r="HV6" s="15"/>
      <c r="HW6" s="15"/>
      <c r="HX6" s="15"/>
      <c r="HY6" s="15"/>
      <c r="HZ6" s="15"/>
      <c r="IA6" s="15"/>
      <c r="IB6" s="15"/>
      <c r="IC6" s="15"/>
      <c r="ID6" s="15"/>
      <c r="IE6" s="15"/>
      <c r="IF6" s="15"/>
      <c r="IG6" s="15"/>
      <c r="IH6" s="15"/>
      <c r="II6" s="15"/>
      <c r="IJ6" s="15"/>
      <c r="IK6" s="15"/>
      <c r="IL6" s="15"/>
      <c r="IM6" s="15"/>
      <c r="IN6" s="15"/>
      <c r="IO6" s="15"/>
      <c r="IP6" s="15"/>
      <c r="IQ6" s="15"/>
      <c r="IR6" s="15"/>
      <c r="IS6" s="15"/>
      <c r="IT6" s="15"/>
      <c r="IU6" s="15"/>
      <c r="IV6" s="15"/>
      <c r="IW6" s="15"/>
      <c r="IX6" s="15"/>
      <c r="IY6" s="15"/>
      <c r="IZ6" s="15"/>
      <c r="JA6" s="15"/>
      <c r="JB6" s="15"/>
      <c r="JC6" s="15"/>
      <c r="JD6" s="15"/>
      <c r="JE6" s="15"/>
      <c r="JF6" s="15"/>
      <c r="JG6" s="15"/>
      <c r="JH6" s="15"/>
      <c r="JI6" s="15"/>
      <c r="JJ6" s="15"/>
      <c r="JK6" s="15"/>
      <c r="JL6" s="15"/>
      <c r="JM6" s="15"/>
      <c r="JN6" s="15"/>
      <c r="JO6" s="15"/>
      <c r="JP6" s="15"/>
      <c r="JQ6" s="15"/>
      <c r="JR6" s="15"/>
      <c r="JS6" s="15"/>
      <c r="JT6" s="15"/>
      <c r="JU6" s="15"/>
      <c r="JV6" s="15"/>
      <c r="JW6" s="15"/>
      <c r="JX6" s="15"/>
      <c r="JY6" s="15"/>
      <c r="JZ6" s="15"/>
      <c r="KA6" s="15"/>
      <c r="KB6" s="15"/>
      <c r="KC6" s="15"/>
      <c r="KD6" s="15"/>
      <c r="KE6" s="15"/>
      <c r="KF6" s="15"/>
      <c r="KG6" s="15"/>
      <c r="KH6" s="15"/>
      <c r="KI6" s="15"/>
      <c r="KJ6" s="15"/>
      <c r="KK6" s="15"/>
      <c r="KL6" s="15"/>
      <c r="KM6" s="15"/>
      <c r="KN6" s="15"/>
    </row>
    <row r="7" spans="1:300" ht="75.75" thickTop="1" x14ac:dyDescent="0.25">
      <c r="A7" s="10" t="str">
        <f>IF(ISBLANK(B7),"","RQ"&amp;TEXT(ROW()-6,"000"))</f>
        <v>RQ001</v>
      </c>
      <c r="B7" s="26" t="s">
        <v>119</v>
      </c>
      <c r="C7" s="26"/>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s="26"/>
    </row>
    <row r="8" spans="1:300" ht="65.45" customHeight="1" thickBot="1" x14ac:dyDescent="0.3">
      <c r="A8" s="10" t="str">
        <f t="shared" ref="A8:A9" si="1">IF(ISBLANK(B8),"","RQ"&amp;TEXT(ROW()-6,"000"))</f>
        <v>RQ002</v>
      </c>
      <c r="B8" s="26" t="s">
        <v>230</v>
      </c>
      <c r="C8" s="26" t="s">
        <v>70</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s="26"/>
    </row>
    <row r="9" spans="1:300" ht="31.5" thickTop="1" thickBot="1" x14ac:dyDescent="0.3">
      <c r="A9" s="10" t="str">
        <f t="shared" si="1"/>
        <v>RQ003</v>
      </c>
      <c r="B9" s="26" t="s">
        <v>120</v>
      </c>
      <c r="C9" s="26" t="s">
        <v>84</v>
      </c>
      <c r="D9" s="65">
        <v>1</v>
      </c>
      <c r="E9" s="65">
        <v>1</v>
      </c>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s="26"/>
    </row>
    <row r="10" spans="1:300" ht="91.5" thickTop="1" thickBot="1" x14ac:dyDescent="0.3">
      <c r="A10" s="10" t="s">
        <v>141</v>
      </c>
      <c r="B10" s="26" t="s">
        <v>261</v>
      </c>
      <c r="C10" s="26" t="s">
        <v>71</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s="26"/>
    </row>
    <row r="11" spans="1:300" ht="31.5" thickTop="1" thickBot="1" x14ac:dyDescent="0.3">
      <c r="A11" s="10" t="s">
        <v>257</v>
      </c>
      <c r="B11" s="26" t="s">
        <v>258</v>
      </c>
      <c r="C11" s="26"/>
      <c r="D11"/>
      <c r="E11"/>
      <c r="F11" s="66">
        <v>0</v>
      </c>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s="26"/>
    </row>
    <row r="12" spans="1:300" ht="30.75" thickTop="1" x14ac:dyDescent="0.25">
      <c r="A12" s="10" t="s">
        <v>259</v>
      </c>
      <c r="B12" s="26" t="s">
        <v>260</v>
      </c>
      <c r="C12" s="26"/>
      <c r="D12"/>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row>
    <row r="13" spans="1:300" ht="30" x14ac:dyDescent="0.25">
      <c r="A13" s="10" t="s">
        <v>262</v>
      </c>
      <c r="B13" s="26" t="s">
        <v>270</v>
      </c>
      <c r="C13" s="26"/>
      <c r="D13"/>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row>
    <row r="14" spans="1:300" ht="30" x14ac:dyDescent="0.25">
      <c r="A14" s="10" t="s">
        <v>263</v>
      </c>
      <c r="B14" s="26" t="s">
        <v>264</v>
      </c>
      <c r="C14" s="26"/>
      <c r="D1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row>
    <row r="15" spans="1:300" ht="30" x14ac:dyDescent="0.25">
      <c r="A15" s="10" t="s">
        <v>265</v>
      </c>
      <c r="B15" s="26" t="s">
        <v>266</v>
      </c>
      <c r="C15" s="26"/>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row>
    <row r="16" spans="1:300" x14ac:dyDescent="0.25">
      <c r="A16" s="10" t="str">
        <f t="shared" ref="A12:A40" si="2">IF(ISBLANK(B16),"","RQ"&amp;TEXT(ROW()-4,"000"))</f>
        <v/>
      </c>
      <c r="B16" s="26"/>
      <c r="C16" s="2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row>
    <row r="17" spans="1:78" x14ac:dyDescent="0.25">
      <c r="A17" s="10" t="str">
        <f t="shared" si="2"/>
        <v/>
      </c>
      <c r="B17" s="26"/>
      <c r="C17" s="26"/>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row>
    <row r="18" spans="1:78" x14ac:dyDescent="0.25">
      <c r="A18" s="10" t="str">
        <f t="shared" si="2"/>
        <v/>
      </c>
      <c r="B18" s="26"/>
      <c r="C18" s="26"/>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row>
    <row r="19" spans="1:78" x14ac:dyDescent="0.25">
      <c r="A19" s="10" t="str">
        <f t="shared" si="2"/>
        <v/>
      </c>
      <c r="B19" s="26"/>
      <c r="C19" s="26"/>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row>
    <row r="20" spans="1:78" x14ac:dyDescent="0.25">
      <c r="A20" s="10" t="str">
        <f t="shared" si="2"/>
        <v/>
      </c>
      <c r="B20" s="26"/>
      <c r="C20" s="26"/>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row>
    <row r="21" spans="1:78" x14ac:dyDescent="0.25">
      <c r="A21" s="10" t="str">
        <f t="shared" si="2"/>
        <v/>
      </c>
      <c r="B21" s="26"/>
      <c r="C21" s="26"/>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row>
    <row r="22" spans="1:78" x14ac:dyDescent="0.25">
      <c r="A22" s="10" t="str">
        <f t="shared" si="2"/>
        <v/>
      </c>
      <c r="B22" s="26"/>
      <c r="C22" s="26"/>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row>
    <row r="23" spans="1:78" x14ac:dyDescent="0.25">
      <c r="A23" s="10" t="str">
        <f t="shared" si="2"/>
        <v/>
      </c>
      <c r="B23" s="26"/>
      <c r="C23" s="26"/>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row>
    <row r="24" spans="1:78" x14ac:dyDescent="0.25">
      <c r="A24" s="10" t="str">
        <f t="shared" si="2"/>
        <v/>
      </c>
      <c r="B24" s="26"/>
      <c r="C24" s="26"/>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row>
    <row r="25" spans="1:78" x14ac:dyDescent="0.25">
      <c r="A25" s="10" t="str">
        <f t="shared" si="2"/>
        <v/>
      </c>
      <c r="B25" s="26"/>
      <c r="C25" s="26"/>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row>
    <row r="26" spans="1:78" x14ac:dyDescent="0.25">
      <c r="A26" s="10" t="str">
        <f t="shared" si="2"/>
        <v/>
      </c>
      <c r="B26" s="26"/>
      <c r="C26" s="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row>
    <row r="27" spans="1:78" x14ac:dyDescent="0.25">
      <c r="A27" s="10" t="str">
        <f t="shared" si="2"/>
        <v/>
      </c>
      <c r="B27" s="26"/>
      <c r="C27" s="26"/>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row>
    <row r="28" spans="1:78" x14ac:dyDescent="0.25">
      <c r="A28" s="10" t="str">
        <f t="shared" si="2"/>
        <v/>
      </c>
      <c r="B28" s="26"/>
      <c r="C28" s="26"/>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row>
    <row r="29" spans="1:78" x14ac:dyDescent="0.25">
      <c r="A29" s="10" t="str">
        <f t="shared" si="2"/>
        <v/>
      </c>
      <c r="B29" s="26"/>
      <c r="C29" s="26"/>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row>
    <row r="30" spans="1:78" x14ac:dyDescent="0.25">
      <c r="A30" s="10" t="str">
        <f t="shared" si="2"/>
        <v/>
      </c>
      <c r="B30" s="26"/>
      <c r="C30" s="26"/>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row>
    <row r="31" spans="1:78" x14ac:dyDescent="0.25">
      <c r="A31" s="10" t="str">
        <f t="shared" si="2"/>
        <v/>
      </c>
      <c r="B31" s="26"/>
      <c r="C31" s="26"/>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row>
    <row r="32" spans="1:78" x14ac:dyDescent="0.25">
      <c r="A32" s="10" t="str">
        <f t="shared" si="2"/>
        <v/>
      </c>
      <c r="B32" s="26"/>
      <c r="C32" s="26"/>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row>
    <row r="33" spans="1:78" x14ac:dyDescent="0.25">
      <c r="A33" s="10" t="str">
        <f t="shared" si="2"/>
        <v/>
      </c>
      <c r="B33" s="26"/>
      <c r="C33" s="26"/>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row>
    <row r="34" spans="1:78" x14ac:dyDescent="0.25">
      <c r="A34" s="10" t="str">
        <f t="shared" si="2"/>
        <v/>
      </c>
      <c r="B34" s="26"/>
      <c r="C34" s="26"/>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row>
    <row r="35" spans="1:78" x14ac:dyDescent="0.25">
      <c r="A35" s="10" t="str">
        <f t="shared" si="2"/>
        <v/>
      </c>
      <c r="B35" s="26"/>
      <c r="C35" s="26"/>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row>
    <row r="36" spans="1:78" x14ac:dyDescent="0.25">
      <c r="A36" s="10" t="str">
        <f t="shared" si="2"/>
        <v/>
      </c>
      <c r="B36" s="26"/>
      <c r="C36" s="2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row>
    <row r="37" spans="1:78" x14ac:dyDescent="0.25">
      <c r="A37" s="10" t="str">
        <f t="shared" si="2"/>
        <v/>
      </c>
      <c r="B37" s="26"/>
      <c r="C37" s="26"/>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row>
    <row r="38" spans="1:78" x14ac:dyDescent="0.25">
      <c r="A38" s="10" t="str">
        <f t="shared" si="2"/>
        <v/>
      </c>
      <c r="B38" s="26"/>
      <c r="C38" s="26"/>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row>
    <row r="39" spans="1:78" x14ac:dyDescent="0.25">
      <c r="A39" s="10" t="str">
        <f t="shared" si="2"/>
        <v/>
      </c>
      <c r="B39" s="26"/>
      <c r="C39" s="26"/>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row>
    <row r="40" spans="1:78" x14ac:dyDescent="0.25">
      <c r="A40" s="10" t="str">
        <f t="shared" si="2"/>
        <v/>
      </c>
      <c r="B40" s="26"/>
      <c r="C40" s="26"/>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row>
    <row r="41" spans="1:78" x14ac:dyDescent="0.25">
      <c r="A41" s="10" t="str">
        <f t="shared" ref="A41:A81" si="3">IF(ISBLANK(B41),"","RQ"&amp;TEXT(ROW()-4,"000"))</f>
        <v/>
      </c>
      <c r="B41" s="26"/>
      <c r="C41" s="26"/>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row>
    <row r="42" spans="1:78" x14ac:dyDescent="0.25">
      <c r="A42" s="10" t="str">
        <f t="shared" si="3"/>
        <v/>
      </c>
      <c r="B42" s="26"/>
      <c r="C42" s="26"/>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row>
    <row r="43" spans="1:78" x14ac:dyDescent="0.25">
      <c r="A43" s="10" t="str">
        <f t="shared" si="3"/>
        <v/>
      </c>
      <c r="B43" s="26"/>
      <c r="C43" s="26"/>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row>
    <row r="44" spans="1:78" x14ac:dyDescent="0.25">
      <c r="A44" s="10" t="str">
        <f t="shared" si="3"/>
        <v/>
      </c>
      <c r="B44" s="26"/>
      <c r="C44" s="26"/>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row>
    <row r="45" spans="1:78" x14ac:dyDescent="0.25">
      <c r="A45" s="10" t="str">
        <f t="shared" si="3"/>
        <v/>
      </c>
      <c r="B45" s="26"/>
      <c r="C45" s="26"/>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row>
    <row r="46" spans="1:78" x14ac:dyDescent="0.25">
      <c r="A46" s="10" t="str">
        <f t="shared" si="3"/>
        <v/>
      </c>
      <c r="B46" s="26"/>
      <c r="C46" s="2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row>
    <row r="47" spans="1:78" x14ac:dyDescent="0.25">
      <c r="A47" s="10" t="str">
        <f t="shared" si="3"/>
        <v/>
      </c>
      <c r="B47" s="26"/>
      <c r="C47" s="26"/>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row>
    <row r="48" spans="1:78" x14ac:dyDescent="0.25">
      <c r="A48" s="10" t="str">
        <f t="shared" si="3"/>
        <v/>
      </c>
      <c r="B48" s="26"/>
      <c r="C48" s="26"/>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row>
    <row r="49" spans="1:78" x14ac:dyDescent="0.25">
      <c r="A49" s="10" t="str">
        <f t="shared" si="3"/>
        <v/>
      </c>
      <c r="B49" s="26"/>
      <c r="C49" s="26"/>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row>
    <row r="50" spans="1:78" x14ac:dyDescent="0.25">
      <c r="A50" s="10" t="str">
        <f t="shared" si="3"/>
        <v/>
      </c>
      <c r="B50" s="26"/>
      <c r="C50" s="26"/>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row>
    <row r="51" spans="1:78" x14ac:dyDescent="0.25">
      <c r="A51" s="10" t="str">
        <f t="shared" si="3"/>
        <v/>
      </c>
      <c r="B51" s="26"/>
      <c r="C51" s="26"/>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row>
    <row r="52" spans="1:78" x14ac:dyDescent="0.25">
      <c r="A52" s="10" t="str">
        <f t="shared" si="3"/>
        <v/>
      </c>
      <c r="B52" s="26"/>
      <c r="C52" s="26"/>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row>
    <row r="53" spans="1:78" x14ac:dyDescent="0.25">
      <c r="A53" s="10" t="str">
        <f t="shared" si="3"/>
        <v/>
      </c>
      <c r="B53" s="26"/>
      <c r="C53" s="26"/>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row>
    <row r="54" spans="1:78" x14ac:dyDescent="0.25">
      <c r="A54" s="10" t="str">
        <f t="shared" si="3"/>
        <v/>
      </c>
      <c r="B54" s="26"/>
      <c r="C54" s="26"/>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row>
    <row r="55" spans="1:78" x14ac:dyDescent="0.25">
      <c r="A55" s="10" t="str">
        <f t="shared" si="3"/>
        <v/>
      </c>
      <c r="B55" s="26"/>
      <c r="C55" s="26"/>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row>
    <row r="56" spans="1:78" x14ac:dyDescent="0.25">
      <c r="A56" s="10" t="str">
        <f t="shared" si="3"/>
        <v/>
      </c>
      <c r="B56" s="26"/>
      <c r="C56" s="2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row>
    <row r="57" spans="1:78" x14ac:dyDescent="0.25">
      <c r="A57" s="10" t="str">
        <f t="shared" si="3"/>
        <v/>
      </c>
      <c r="B57" s="26"/>
      <c r="C57" s="26"/>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row>
    <row r="58" spans="1:78" x14ac:dyDescent="0.25">
      <c r="A58" s="10" t="str">
        <f t="shared" si="3"/>
        <v/>
      </c>
      <c r="B58" s="26"/>
      <c r="C58" s="26"/>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row>
    <row r="59" spans="1:78" x14ac:dyDescent="0.25">
      <c r="A59" s="10" t="str">
        <f t="shared" si="3"/>
        <v/>
      </c>
      <c r="B59" s="26"/>
      <c r="C59" s="26"/>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row>
    <row r="60" spans="1:78" x14ac:dyDescent="0.25">
      <c r="A60" s="10" t="str">
        <f t="shared" si="3"/>
        <v/>
      </c>
      <c r="B60" s="26"/>
      <c r="C60" s="26"/>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row>
    <row r="61" spans="1:78" x14ac:dyDescent="0.25">
      <c r="A61" s="10" t="str">
        <f t="shared" si="3"/>
        <v/>
      </c>
      <c r="B61" s="26"/>
      <c r="C61" s="26"/>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row>
    <row r="62" spans="1:78" x14ac:dyDescent="0.25">
      <c r="A62" s="10" t="str">
        <f t="shared" si="3"/>
        <v/>
      </c>
      <c r="B62" s="26"/>
      <c r="C62" s="26"/>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row>
    <row r="63" spans="1:78" x14ac:dyDescent="0.25">
      <c r="A63" s="10" t="str">
        <f t="shared" si="3"/>
        <v/>
      </c>
      <c r="B63" s="26"/>
      <c r="C63" s="26"/>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row>
    <row r="64" spans="1:78" x14ac:dyDescent="0.25">
      <c r="A64" s="10" t="str">
        <f t="shared" si="3"/>
        <v/>
      </c>
      <c r="B64" s="26"/>
      <c r="C64" s="26"/>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row>
    <row r="65" spans="1:78" x14ac:dyDescent="0.25">
      <c r="A65" s="10" t="str">
        <f t="shared" si="3"/>
        <v/>
      </c>
      <c r="B65" s="26"/>
      <c r="C65" s="26"/>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row>
    <row r="66" spans="1:78" x14ac:dyDescent="0.25">
      <c r="A66" s="10" t="str">
        <f t="shared" si="3"/>
        <v/>
      </c>
      <c r="B66" s="26"/>
      <c r="C66" s="2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row>
    <row r="67" spans="1:78" x14ac:dyDescent="0.25">
      <c r="A67" s="10" t="str">
        <f t="shared" si="3"/>
        <v/>
      </c>
      <c r="B67" s="26"/>
      <c r="C67" s="26"/>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row>
    <row r="68" spans="1:78" x14ac:dyDescent="0.25">
      <c r="A68" s="10" t="str">
        <f t="shared" si="3"/>
        <v/>
      </c>
      <c r="B68" s="26"/>
      <c r="C68" s="26"/>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row>
    <row r="69" spans="1:78" x14ac:dyDescent="0.25">
      <c r="A69" s="10" t="str">
        <f t="shared" si="3"/>
        <v/>
      </c>
      <c r="B69" s="26"/>
      <c r="C69" s="26"/>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row>
    <row r="70" spans="1:78" x14ac:dyDescent="0.25">
      <c r="A70" s="10" t="str">
        <f t="shared" si="3"/>
        <v/>
      </c>
      <c r="B70" s="26"/>
      <c r="C70" s="26"/>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row>
    <row r="71" spans="1:78" x14ac:dyDescent="0.25">
      <c r="A71" s="10" t="str">
        <f t="shared" si="3"/>
        <v/>
      </c>
      <c r="B71" s="26"/>
      <c r="C71" s="26"/>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row>
    <row r="72" spans="1:78" x14ac:dyDescent="0.25">
      <c r="A72" s="10" t="str">
        <f t="shared" si="3"/>
        <v/>
      </c>
      <c r="B72" s="26"/>
      <c r="C72" s="26"/>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row>
    <row r="73" spans="1:78" x14ac:dyDescent="0.25">
      <c r="A73" s="10" t="str">
        <f t="shared" si="3"/>
        <v/>
      </c>
      <c r="B73" s="26"/>
      <c r="C73" s="26"/>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row>
    <row r="74" spans="1:78" x14ac:dyDescent="0.25">
      <c r="A74" s="10" t="str">
        <f t="shared" si="3"/>
        <v/>
      </c>
      <c r="B74" s="26"/>
      <c r="C74" s="26"/>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row>
    <row r="75" spans="1:78" x14ac:dyDescent="0.25">
      <c r="A75" s="10" t="str">
        <f t="shared" si="3"/>
        <v/>
      </c>
      <c r="B75" s="26"/>
      <c r="C75" s="26"/>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row>
    <row r="76" spans="1:78" x14ac:dyDescent="0.25">
      <c r="A76" s="10" t="str">
        <f t="shared" si="3"/>
        <v/>
      </c>
      <c r="B76" s="26"/>
      <c r="C76" s="2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row>
    <row r="77" spans="1:78" x14ac:dyDescent="0.25">
      <c r="A77" s="10" t="str">
        <f t="shared" si="3"/>
        <v/>
      </c>
      <c r="B77" s="26"/>
      <c r="C77" s="26"/>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row>
    <row r="78" spans="1:78" x14ac:dyDescent="0.25">
      <c r="A78" s="10" t="str">
        <f t="shared" si="3"/>
        <v/>
      </c>
      <c r="B78" s="26"/>
      <c r="C78" s="26"/>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row>
    <row r="79" spans="1:78" x14ac:dyDescent="0.25">
      <c r="A79" s="10" t="str">
        <f t="shared" si="3"/>
        <v/>
      </c>
      <c r="B79" s="26"/>
      <c r="C79" s="26"/>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row>
    <row r="80" spans="1:78" x14ac:dyDescent="0.25">
      <c r="A80" s="10" t="str">
        <f t="shared" si="3"/>
        <v/>
      </c>
      <c r="B80" s="26"/>
      <c r="C80" s="26"/>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row>
    <row r="81" spans="1:78" x14ac:dyDescent="0.25">
      <c r="A81" s="10" t="str">
        <f t="shared" si="3"/>
        <v/>
      </c>
      <c r="B81" s="26"/>
      <c r="C81" s="26"/>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row>
    <row r="82" spans="1:78" x14ac:dyDescent="0.25">
      <c r="A82" s="10" t="str">
        <f t="shared" ref="A82:A104" si="4">IF(ISBLANK(B82),"","RQ"&amp;TEXT(ROW()-3,"000"))</f>
        <v/>
      </c>
      <c r="B82" s="26"/>
      <c r="C82" s="26"/>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row>
    <row r="83" spans="1:78" x14ac:dyDescent="0.25">
      <c r="A83" s="10" t="str">
        <f t="shared" si="4"/>
        <v/>
      </c>
      <c r="B83" s="26"/>
      <c r="C83" s="26"/>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row>
    <row r="84" spans="1:78" x14ac:dyDescent="0.25">
      <c r="A84" s="10" t="str">
        <f t="shared" si="4"/>
        <v/>
      </c>
      <c r="B84" s="26"/>
      <c r="C84" s="26"/>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row>
    <row r="85" spans="1:78" x14ac:dyDescent="0.25">
      <c r="A85" s="10" t="str">
        <f t="shared" si="4"/>
        <v/>
      </c>
      <c r="B85" s="26"/>
      <c r="C85" s="26"/>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row>
    <row r="86" spans="1:78" x14ac:dyDescent="0.25">
      <c r="A86" s="10" t="str">
        <f t="shared" si="4"/>
        <v/>
      </c>
      <c r="B86" s="26"/>
      <c r="C86" s="2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row>
    <row r="87" spans="1:78" x14ac:dyDescent="0.25">
      <c r="A87" s="10" t="str">
        <f t="shared" si="4"/>
        <v/>
      </c>
      <c r="B87" s="26"/>
      <c r="C87" s="26"/>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row>
    <row r="88" spans="1:78" x14ac:dyDescent="0.25">
      <c r="A88" s="10" t="str">
        <f t="shared" si="4"/>
        <v/>
      </c>
      <c r="B88" s="26"/>
      <c r="C88" s="26"/>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row>
    <row r="89" spans="1:78" x14ac:dyDescent="0.25">
      <c r="A89" s="10" t="str">
        <f t="shared" si="4"/>
        <v/>
      </c>
      <c r="B89" s="26"/>
      <c r="C89" s="26"/>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row>
    <row r="90" spans="1:78" x14ac:dyDescent="0.25">
      <c r="A90" s="10" t="str">
        <f t="shared" si="4"/>
        <v/>
      </c>
      <c r="B90" s="26"/>
      <c r="C90" s="26"/>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row>
    <row r="91" spans="1:78" x14ac:dyDescent="0.25">
      <c r="A91" s="10" t="str">
        <f t="shared" si="4"/>
        <v/>
      </c>
      <c r="B91" s="26"/>
      <c r="C91" s="26"/>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row>
    <row r="92" spans="1:78" x14ac:dyDescent="0.25">
      <c r="A92" s="10" t="str">
        <f t="shared" si="4"/>
        <v/>
      </c>
      <c r="B92" s="26"/>
      <c r="C92" s="26"/>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row>
    <row r="93" spans="1:78" x14ac:dyDescent="0.25">
      <c r="A93" s="10" t="str">
        <f t="shared" si="4"/>
        <v/>
      </c>
      <c r="B93" s="26"/>
      <c r="C93" s="26"/>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row>
    <row r="94" spans="1:78" x14ac:dyDescent="0.25">
      <c r="A94" s="10" t="str">
        <f t="shared" si="4"/>
        <v/>
      </c>
      <c r="B94" s="26"/>
      <c r="C94" s="26"/>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row>
    <row r="95" spans="1:78" x14ac:dyDescent="0.25">
      <c r="A95" s="10" t="str">
        <f t="shared" si="4"/>
        <v/>
      </c>
      <c r="B95" s="26"/>
      <c r="C95" s="26"/>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row>
    <row r="96" spans="1:78" x14ac:dyDescent="0.25">
      <c r="A96" s="10" t="str">
        <f t="shared" si="4"/>
        <v/>
      </c>
      <c r="B96" s="26"/>
      <c r="C96" s="2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row>
    <row r="97" spans="1:78" x14ac:dyDescent="0.25">
      <c r="A97" s="10" t="str">
        <f t="shared" si="4"/>
        <v/>
      </c>
      <c r="B97" s="26"/>
      <c r="C97" s="26"/>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row>
    <row r="98" spans="1:78" x14ac:dyDescent="0.25">
      <c r="A98" s="10" t="str">
        <f t="shared" si="4"/>
        <v/>
      </c>
      <c r="B98" s="26"/>
      <c r="C98" s="26"/>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row>
    <row r="99" spans="1:78" x14ac:dyDescent="0.25">
      <c r="A99" s="10" t="str">
        <f t="shared" si="4"/>
        <v/>
      </c>
      <c r="B99" s="26"/>
      <c r="C99" s="26"/>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row>
    <row r="100" spans="1:78" x14ac:dyDescent="0.25">
      <c r="A100" s="10" t="str">
        <f t="shared" si="4"/>
        <v/>
      </c>
      <c r="B100" s="26"/>
      <c r="C100" s="26"/>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row>
    <row r="101" spans="1:78" x14ac:dyDescent="0.25">
      <c r="A101" s="10" t="str">
        <f t="shared" si="4"/>
        <v/>
      </c>
      <c r="B101" s="26"/>
      <c r="C101" s="26"/>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row>
    <row r="102" spans="1:78" x14ac:dyDescent="0.25">
      <c r="A102" s="10" t="str">
        <f t="shared" si="4"/>
        <v/>
      </c>
      <c r="B102" s="26"/>
      <c r="C102" s="26"/>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row>
    <row r="103" spans="1:78" x14ac:dyDescent="0.25">
      <c r="A103" s="10" t="str">
        <f t="shared" si="4"/>
        <v/>
      </c>
      <c r="B103" s="26"/>
      <c r="C103" s="26"/>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row>
    <row r="104" spans="1:78" x14ac:dyDescent="0.25">
      <c r="A104" s="10" t="str">
        <f t="shared" si="4"/>
        <v/>
      </c>
      <c r="B104" s="26"/>
      <c r="C104" s="26"/>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row>
    <row r="105" spans="1:78" x14ac:dyDescent="0.25">
      <c r="A105" s="10" t="str">
        <f t="shared" ref="A105:A168" si="5">IF(ISBLANK(B105),"","RQ"&amp;TEXT(ROW()-3,"000"))</f>
        <v/>
      </c>
      <c r="B105" s="26"/>
      <c r="C105" s="26"/>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row>
    <row r="106" spans="1:78" x14ac:dyDescent="0.25">
      <c r="A106" s="10" t="str">
        <f t="shared" si="5"/>
        <v/>
      </c>
      <c r="B106" s="26"/>
      <c r="C106" s="2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row>
    <row r="107" spans="1:78" x14ac:dyDescent="0.25">
      <c r="A107" s="10" t="str">
        <f t="shared" si="5"/>
        <v/>
      </c>
      <c r="B107" s="26"/>
      <c r="C107" s="26"/>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row>
    <row r="108" spans="1:78" x14ac:dyDescent="0.25">
      <c r="A108" s="10" t="str">
        <f t="shared" si="5"/>
        <v/>
      </c>
      <c r="B108" s="26"/>
      <c r="C108" s="26"/>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row>
    <row r="109" spans="1:78" x14ac:dyDescent="0.25">
      <c r="A109" s="10" t="str">
        <f t="shared" si="5"/>
        <v/>
      </c>
      <c r="B109" s="26"/>
      <c r="C109" s="26"/>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row>
    <row r="110" spans="1:78" x14ac:dyDescent="0.25">
      <c r="A110" s="10" t="str">
        <f t="shared" si="5"/>
        <v/>
      </c>
      <c r="B110" s="26"/>
      <c r="C110" s="26"/>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row>
    <row r="111" spans="1:78" x14ac:dyDescent="0.25">
      <c r="A111" s="10" t="str">
        <f t="shared" si="5"/>
        <v/>
      </c>
      <c r="B111" s="26"/>
      <c r="C111" s="26"/>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row>
    <row r="112" spans="1:78" x14ac:dyDescent="0.25">
      <c r="A112" s="10" t="str">
        <f t="shared" si="5"/>
        <v/>
      </c>
      <c r="B112" s="26"/>
      <c r="C112" s="26"/>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row>
    <row r="113" spans="1:78" x14ac:dyDescent="0.25">
      <c r="A113" s="10" t="str">
        <f t="shared" si="5"/>
        <v/>
      </c>
      <c r="B113" s="26"/>
      <c r="C113" s="26"/>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row>
    <row r="114" spans="1:78" x14ac:dyDescent="0.25">
      <c r="A114" s="10" t="str">
        <f t="shared" si="5"/>
        <v/>
      </c>
      <c r="B114" s="26"/>
      <c r="C114" s="26"/>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row>
    <row r="115" spans="1:78" x14ac:dyDescent="0.25">
      <c r="A115" s="10" t="str">
        <f t="shared" si="5"/>
        <v/>
      </c>
      <c r="B115" s="26"/>
      <c r="C115" s="26"/>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row>
    <row r="116" spans="1:78" x14ac:dyDescent="0.25">
      <c r="A116" s="10" t="str">
        <f t="shared" si="5"/>
        <v/>
      </c>
      <c r="B116" s="26"/>
      <c r="C116" s="2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row>
    <row r="117" spans="1:78" x14ac:dyDescent="0.25">
      <c r="A117" s="10" t="str">
        <f t="shared" si="5"/>
        <v/>
      </c>
      <c r="B117" s="26"/>
      <c r="C117" s="26"/>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row>
    <row r="118" spans="1:78" x14ac:dyDescent="0.25">
      <c r="A118" s="10" t="str">
        <f t="shared" si="5"/>
        <v/>
      </c>
      <c r="B118" s="26"/>
      <c r="C118" s="26"/>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row>
    <row r="119" spans="1:78" x14ac:dyDescent="0.25">
      <c r="A119" s="10" t="str">
        <f t="shared" si="5"/>
        <v/>
      </c>
      <c r="B119" s="26"/>
      <c r="C119" s="26"/>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row>
    <row r="120" spans="1:78" x14ac:dyDescent="0.25">
      <c r="A120" s="10" t="str">
        <f t="shared" si="5"/>
        <v/>
      </c>
      <c r="B120" s="26"/>
      <c r="C120" s="26"/>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row>
    <row r="121" spans="1:78" x14ac:dyDescent="0.25">
      <c r="A121" s="10" t="str">
        <f t="shared" si="5"/>
        <v/>
      </c>
      <c r="B121" s="26"/>
      <c r="C121" s="26"/>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row>
    <row r="122" spans="1:78" x14ac:dyDescent="0.25">
      <c r="A122" s="10" t="str">
        <f t="shared" si="5"/>
        <v/>
      </c>
      <c r="B122" s="26"/>
      <c r="C122" s="26"/>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row>
    <row r="123" spans="1:78" x14ac:dyDescent="0.25">
      <c r="A123" s="10" t="str">
        <f t="shared" si="5"/>
        <v/>
      </c>
      <c r="B123" s="26"/>
      <c r="C123" s="26"/>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row>
    <row r="124" spans="1:78" x14ac:dyDescent="0.25">
      <c r="A124" s="10" t="str">
        <f t="shared" si="5"/>
        <v/>
      </c>
      <c r="B124" s="26"/>
      <c r="C124" s="26"/>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row>
    <row r="125" spans="1:78" x14ac:dyDescent="0.25">
      <c r="A125" s="10" t="str">
        <f t="shared" si="5"/>
        <v/>
      </c>
      <c r="B125" s="26"/>
      <c r="C125" s="26"/>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row>
    <row r="126" spans="1:78" x14ac:dyDescent="0.25">
      <c r="A126" s="10" t="str">
        <f t="shared" si="5"/>
        <v/>
      </c>
      <c r="B126" s="26"/>
      <c r="C126" s="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row>
    <row r="127" spans="1:78" x14ac:dyDescent="0.25">
      <c r="A127" s="10" t="str">
        <f t="shared" si="5"/>
        <v/>
      </c>
      <c r="B127" s="26"/>
      <c r="C127" s="26"/>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row>
    <row r="128" spans="1:78" x14ac:dyDescent="0.25">
      <c r="A128" s="10" t="str">
        <f t="shared" si="5"/>
        <v/>
      </c>
      <c r="B128" s="26"/>
      <c r="C128" s="26"/>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row>
    <row r="129" spans="1:78" x14ac:dyDescent="0.25">
      <c r="A129" s="10" t="str">
        <f t="shared" si="5"/>
        <v/>
      </c>
      <c r="B129" s="26"/>
      <c r="C129" s="26"/>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row>
    <row r="130" spans="1:78" x14ac:dyDescent="0.25">
      <c r="A130" s="10" t="str">
        <f t="shared" si="5"/>
        <v/>
      </c>
      <c r="B130" s="26"/>
      <c r="C130" s="26"/>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row>
    <row r="131" spans="1:78" x14ac:dyDescent="0.25">
      <c r="A131" s="10" t="str">
        <f t="shared" si="5"/>
        <v/>
      </c>
      <c r="B131" s="26"/>
      <c r="C131" s="26"/>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row>
    <row r="132" spans="1:78" x14ac:dyDescent="0.25">
      <c r="A132" s="10" t="str">
        <f t="shared" si="5"/>
        <v/>
      </c>
      <c r="B132" s="26"/>
      <c r="C132" s="26"/>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row>
    <row r="133" spans="1:78" x14ac:dyDescent="0.25">
      <c r="A133" s="10" t="str">
        <f t="shared" si="5"/>
        <v/>
      </c>
      <c r="B133" s="26"/>
      <c r="C133" s="26"/>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row>
    <row r="134" spans="1:78" x14ac:dyDescent="0.25">
      <c r="A134" s="10" t="str">
        <f t="shared" si="5"/>
        <v/>
      </c>
      <c r="B134" s="26"/>
      <c r="C134" s="26"/>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row>
    <row r="135" spans="1:78" x14ac:dyDescent="0.25">
      <c r="A135" s="10" t="str">
        <f t="shared" si="5"/>
        <v/>
      </c>
      <c r="B135" s="26"/>
      <c r="C135" s="26"/>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row>
    <row r="136" spans="1:78" x14ac:dyDescent="0.25">
      <c r="A136" s="10" t="str">
        <f t="shared" si="5"/>
        <v/>
      </c>
      <c r="B136" s="26"/>
      <c r="C136" s="2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row>
    <row r="137" spans="1:78" x14ac:dyDescent="0.25">
      <c r="A137" s="10" t="str">
        <f t="shared" si="5"/>
        <v/>
      </c>
      <c r="B137" s="26"/>
      <c r="C137" s="26"/>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row>
    <row r="138" spans="1:78" x14ac:dyDescent="0.25">
      <c r="A138" s="10" t="str">
        <f t="shared" si="5"/>
        <v/>
      </c>
      <c r="B138" s="26"/>
      <c r="C138" s="26"/>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row>
    <row r="139" spans="1:78" x14ac:dyDescent="0.25">
      <c r="A139" s="10" t="str">
        <f t="shared" si="5"/>
        <v/>
      </c>
      <c r="B139" s="26"/>
      <c r="C139" s="26"/>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row>
    <row r="140" spans="1:78" x14ac:dyDescent="0.25">
      <c r="A140" s="10" t="str">
        <f t="shared" si="5"/>
        <v/>
      </c>
      <c r="B140" s="26"/>
      <c r="C140" s="26"/>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row>
    <row r="141" spans="1:78" x14ac:dyDescent="0.25">
      <c r="A141" s="10" t="str">
        <f t="shared" si="5"/>
        <v/>
      </c>
      <c r="B141" s="26"/>
      <c r="C141" s="26"/>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row>
    <row r="142" spans="1:78" x14ac:dyDescent="0.25">
      <c r="A142" s="10" t="str">
        <f t="shared" si="5"/>
        <v/>
      </c>
      <c r="B142" s="26"/>
      <c r="C142" s="26"/>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row>
    <row r="143" spans="1:78" x14ac:dyDescent="0.25">
      <c r="A143" s="10" t="str">
        <f t="shared" si="5"/>
        <v/>
      </c>
      <c r="B143" s="26"/>
      <c r="C143" s="26"/>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row>
    <row r="144" spans="1:78" x14ac:dyDescent="0.25">
      <c r="A144" s="10" t="str">
        <f t="shared" si="5"/>
        <v/>
      </c>
      <c r="B144" s="26"/>
      <c r="C144" s="26"/>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row>
    <row r="145" spans="1:78" x14ac:dyDescent="0.25">
      <c r="A145" s="10" t="str">
        <f t="shared" si="5"/>
        <v/>
      </c>
      <c r="B145" s="26"/>
      <c r="C145" s="26"/>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row>
    <row r="146" spans="1:78" x14ac:dyDescent="0.25">
      <c r="A146" s="10" t="str">
        <f t="shared" si="5"/>
        <v/>
      </c>
      <c r="B146" s="26"/>
      <c r="C146" s="2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row>
    <row r="147" spans="1:78" x14ac:dyDescent="0.25">
      <c r="A147" s="10" t="str">
        <f t="shared" si="5"/>
        <v/>
      </c>
      <c r="B147" s="26"/>
      <c r="C147" s="26"/>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row>
    <row r="148" spans="1:78" x14ac:dyDescent="0.25">
      <c r="A148" s="10" t="str">
        <f t="shared" si="5"/>
        <v/>
      </c>
      <c r="B148" s="26"/>
      <c r="C148" s="26"/>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row>
    <row r="149" spans="1:78" x14ac:dyDescent="0.25">
      <c r="A149" s="10" t="str">
        <f t="shared" si="5"/>
        <v/>
      </c>
      <c r="B149" s="26"/>
      <c r="C149" s="26"/>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row>
    <row r="150" spans="1:78" x14ac:dyDescent="0.25">
      <c r="A150" s="10" t="str">
        <f t="shared" si="5"/>
        <v/>
      </c>
      <c r="B150" s="26"/>
      <c r="C150" s="26"/>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row>
    <row r="151" spans="1:78" x14ac:dyDescent="0.25">
      <c r="A151" s="10" t="str">
        <f t="shared" si="5"/>
        <v/>
      </c>
      <c r="B151" s="26"/>
      <c r="C151" s="26"/>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row>
    <row r="152" spans="1:78" x14ac:dyDescent="0.25">
      <c r="A152" s="10" t="str">
        <f t="shared" si="5"/>
        <v/>
      </c>
      <c r="B152" s="26"/>
      <c r="C152" s="26"/>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row>
    <row r="153" spans="1:78" x14ac:dyDescent="0.25">
      <c r="A153" s="10" t="str">
        <f t="shared" si="5"/>
        <v/>
      </c>
      <c r="B153" s="26"/>
      <c r="C153" s="26"/>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row>
    <row r="154" spans="1:78" x14ac:dyDescent="0.25">
      <c r="A154" s="10" t="str">
        <f t="shared" si="5"/>
        <v/>
      </c>
      <c r="B154" s="26"/>
      <c r="C154" s="26"/>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row>
    <row r="155" spans="1:78" x14ac:dyDescent="0.25">
      <c r="A155" s="10" t="str">
        <f t="shared" si="5"/>
        <v/>
      </c>
      <c r="B155" s="26"/>
      <c r="C155" s="26"/>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row>
    <row r="156" spans="1:78" x14ac:dyDescent="0.25">
      <c r="A156" s="10" t="str">
        <f t="shared" si="5"/>
        <v/>
      </c>
      <c r="B156" s="26"/>
      <c r="C156" s="2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row>
    <row r="157" spans="1:78" x14ac:dyDescent="0.25">
      <c r="A157" s="10" t="str">
        <f t="shared" si="5"/>
        <v/>
      </c>
      <c r="B157" s="26"/>
      <c r="C157" s="26"/>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row>
    <row r="158" spans="1:78" x14ac:dyDescent="0.25">
      <c r="A158" s="10" t="str">
        <f t="shared" si="5"/>
        <v/>
      </c>
      <c r="B158" s="26"/>
      <c r="C158" s="26"/>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row>
    <row r="159" spans="1:78" x14ac:dyDescent="0.25">
      <c r="A159" s="10" t="str">
        <f t="shared" si="5"/>
        <v/>
      </c>
      <c r="B159" s="26"/>
      <c r="C159" s="26"/>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row>
    <row r="160" spans="1:78" x14ac:dyDescent="0.25">
      <c r="A160" s="10" t="str">
        <f t="shared" si="5"/>
        <v/>
      </c>
      <c r="B160" s="26"/>
      <c r="C160" s="26"/>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row>
    <row r="161" spans="1:78" x14ac:dyDescent="0.25">
      <c r="A161" s="10" t="str">
        <f t="shared" si="5"/>
        <v/>
      </c>
      <c r="B161" s="26"/>
      <c r="C161" s="26"/>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row>
    <row r="162" spans="1:78" x14ac:dyDescent="0.25">
      <c r="A162" s="10" t="str">
        <f t="shared" si="5"/>
        <v/>
      </c>
      <c r="B162" s="26"/>
      <c r="C162" s="26"/>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row>
    <row r="163" spans="1:78" x14ac:dyDescent="0.25">
      <c r="A163" s="10" t="str">
        <f t="shared" si="5"/>
        <v/>
      </c>
      <c r="B163" s="26"/>
      <c r="C163" s="26"/>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row>
    <row r="164" spans="1:78" x14ac:dyDescent="0.25">
      <c r="A164" s="10" t="str">
        <f t="shared" si="5"/>
        <v/>
      </c>
      <c r="B164" s="26"/>
      <c r="C164" s="26"/>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row>
    <row r="165" spans="1:78" x14ac:dyDescent="0.25">
      <c r="A165" s="10" t="str">
        <f t="shared" si="5"/>
        <v/>
      </c>
      <c r="B165" s="26"/>
      <c r="C165" s="26"/>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row>
    <row r="166" spans="1:78" x14ac:dyDescent="0.25">
      <c r="A166" s="10" t="str">
        <f t="shared" si="5"/>
        <v/>
      </c>
      <c r="B166" s="26"/>
      <c r="C166" s="2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row>
    <row r="167" spans="1:78" x14ac:dyDescent="0.25">
      <c r="A167" s="10" t="str">
        <f t="shared" si="5"/>
        <v/>
      </c>
      <c r="B167" s="26"/>
      <c r="C167" s="26"/>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row>
    <row r="168" spans="1:78" x14ac:dyDescent="0.25">
      <c r="A168" s="10" t="str">
        <f t="shared" si="5"/>
        <v/>
      </c>
      <c r="B168" s="26"/>
      <c r="C168" s="26"/>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row>
    <row r="169" spans="1:78" x14ac:dyDescent="0.25">
      <c r="A169" s="10" t="str">
        <f t="shared" ref="A169" si="6">IF(ISBLANK(B169),"","RQ"&amp;TEXT(ROW()-3,"000"))</f>
        <v/>
      </c>
      <c r="B169" s="26"/>
      <c r="C169" s="26"/>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row>
    <row r="170" spans="1:78" x14ac:dyDescent="0.25">
      <c r="B170" s="26"/>
      <c r="C170" s="26"/>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row>
    <row r="171" spans="1:78" x14ac:dyDescent="0.25">
      <c r="B171" s="26"/>
      <c r="C171" s="26"/>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row>
    <row r="172" spans="1:78" x14ac:dyDescent="0.25">
      <c r="B172" s="26"/>
      <c r="C172" s="26"/>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row>
    <row r="173" spans="1:78" x14ac:dyDescent="0.25">
      <c r="B173" s="26"/>
      <c r="C173" s="26"/>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row>
    <row r="174" spans="1:78" x14ac:dyDescent="0.25">
      <c r="B174" s="26"/>
      <c r="C174" s="26"/>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row>
    <row r="175" spans="1:78" x14ac:dyDescent="0.25">
      <c r="B175" s="26"/>
      <c r="C175" s="26"/>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row>
    <row r="176" spans="1:78" x14ac:dyDescent="0.25">
      <c r="B176" s="26"/>
      <c r="C176" s="2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row>
    <row r="177" spans="2:78" x14ac:dyDescent="0.25">
      <c r="B177" s="26"/>
      <c r="C177" s="26"/>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row>
    <row r="178" spans="2:78" x14ac:dyDescent="0.25">
      <c r="B178" s="26"/>
      <c r="C178" s="26"/>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row>
    <row r="179" spans="2:78" x14ac:dyDescent="0.25">
      <c r="B179" s="26"/>
      <c r="C179" s="26"/>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row>
    <row r="180" spans="2:78" x14ac:dyDescent="0.25">
      <c r="B180" s="26"/>
      <c r="C180" s="26"/>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row>
    <row r="181" spans="2:78" x14ac:dyDescent="0.25">
      <c r="B181" s="26"/>
      <c r="C181" s="26"/>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row>
    <row r="182" spans="2:78" x14ac:dyDescent="0.25">
      <c r="B182" s="26"/>
      <c r="C182" s="26"/>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row>
    <row r="183" spans="2:78" x14ac:dyDescent="0.25">
      <c r="B183" s="26"/>
      <c r="C183" s="26"/>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row>
    <row r="184" spans="2:78" x14ac:dyDescent="0.25">
      <c r="B184" s="26"/>
      <c r="C184" s="26"/>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row>
    <row r="185" spans="2:78" x14ac:dyDescent="0.25">
      <c r="B185" s="26"/>
      <c r="C185" s="26"/>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row>
    <row r="186" spans="2:78" x14ac:dyDescent="0.25">
      <c r="B186" s="26"/>
      <c r="C186" s="2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row>
    <row r="187" spans="2:78" x14ac:dyDescent="0.25">
      <c r="B187" s="26"/>
      <c r="C187" s="26"/>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row>
    <row r="188" spans="2:78" x14ac:dyDescent="0.25">
      <c r="B188" s="26"/>
      <c r="C188" s="26"/>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row>
    <row r="189" spans="2:78" x14ac:dyDescent="0.25">
      <c r="B189" s="26"/>
      <c r="C189" s="26"/>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row>
    <row r="190" spans="2:78" x14ac:dyDescent="0.25">
      <c r="B190" s="26"/>
      <c r="C190" s="26"/>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row>
    <row r="191" spans="2:78" x14ac:dyDescent="0.25">
      <c r="B191" s="26"/>
      <c r="C191" s="26"/>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row>
    <row r="192" spans="2:78" x14ac:dyDescent="0.25">
      <c r="B192" s="26"/>
      <c r="C192" s="26"/>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row>
    <row r="193" spans="2:78" x14ac:dyDescent="0.25">
      <c r="B193" s="26"/>
      <c r="C193" s="26"/>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row>
    <row r="194" spans="2:78" x14ac:dyDescent="0.25">
      <c r="B194" s="26"/>
      <c r="C194" s="26"/>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row>
    <row r="195" spans="2:78" x14ac:dyDescent="0.25">
      <c r="B195" s="26"/>
      <c r="C195" s="26"/>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row>
    <row r="196" spans="2:78" x14ac:dyDescent="0.25">
      <c r="B196" s="26"/>
      <c r="C196" s="2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row>
    <row r="197" spans="2:78" x14ac:dyDescent="0.25">
      <c r="B197" s="26"/>
      <c r="C197" s="26"/>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row>
    <row r="198" spans="2:78" x14ac:dyDescent="0.25">
      <c r="B198" s="26"/>
      <c r="C198" s="26"/>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row>
    <row r="199" spans="2:78" x14ac:dyDescent="0.25">
      <c r="B199" s="26"/>
      <c r="C199" s="26"/>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row>
    <row r="200" spans="2:78" x14ac:dyDescent="0.25">
      <c r="B200" s="26"/>
      <c r="C200" s="26"/>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row>
    <row r="201" spans="2:78" x14ac:dyDescent="0.25">
      <c r="B201" s="26"/>
      <c r="C201" s="26"/>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row>
    <row r="202" spans="2:78" x14ac:dyDescent="0.25">
      <c r="B202" s="26"/>
      <c r="C202" s="26"/>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row>
    <row r="203" spans="2:78" x14ac:dyDescent="0.25">
      <c r="B203" s="26"/>
      <c r="C203" s="26"/>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row>
    <row r="204" spans="2:78" x14ac:dyDescent="0.25">
      <c r="B204" s="26"/>
      <c r="C204" s="26"/>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row>
    <row r="205" spans="2:78" x14ac:dyDescent="0.25">
      <c r="B205" s="26"/>
      <c r="C205" s="26"/>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row>
    <row r="206" spans="2:78" x14ac:dyDescent="0.25">
      <c r="B206" s="26"/>
      <c r="C206" s="2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row>
    <row r="207" spans="2:78" x14ac:dyDescent="0.25">
      <c r="B207" s="26"/>
      <c r="C207" s="26"/>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row>
    <row r="208" spans="2:78" x14ac:dyDescent="0.25">
      <c r="B208" s="26"/>
      <c r="C208" s="26"/>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row>
    <row r="209" spans="2:78" x14ac:dyDescent="0.25">
      <c r="B209" s="26"/>
      <c r="C209" s="26"/>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row>
    <row r="210" spans="2:78" x14ac:dyDescent="0.25">
      <c r="B210" s="26"/>
      <c r="C210" s="26"/>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row>
    <row r="211" spans="2:78" x14ac:dyDescent="0.25">
      <c r="B211" s="26"/>
      <c r="C211" s="26"/>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row>
    <row r="212" spans="2:78" x14ac:dyDescent="0.25">
      <c r="B212" s="26"/>
      <c r="C212" s="26"/>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row>
    <row r="213" spans="2:78" x14ac:dyDescent="0.25">
      <c r="B213" s="26"/>
      <c r="C213" s="26"/>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row>
    <row r="214" spans="2:78" x14ac:dyDescent="0.25">
      <c r="B214" s="26"/>
      <c r="C214" s="26"/>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row>
    <row r="215" spans="2:78" x14ac:dyDescent="0.25">
      <c r="B215" s="26"/>
      <c r="C215" s="26"/>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row>
    <row r="216" spans="2:78" x14ac:dyDescent="0.25">
      <c r="B216" s="26"/>
      <c r="C216" s="2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row>
    <row r="217" spans="2:78" x14ac:dyDescent="0.25">
      <c r="B217" s="26"/>
      <c r="C217" s="26"/>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row>
    <row r="218" spans="2:78" x14ac:dyDescent="0.25">
      <c r="B218" s="26"/>
      <c r="C218" s="26"/>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row>
    <row r="219" spans="2:78" x14ac:dyDescent="0.25">
      <c r="B219" s="26"/>
      <c r="C219" s="26"/>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row>
    <row r="220" spans="2:78" x14ac:dyDescent="0.25">
      <c r="B220" s="26"/>
      <c r="C220" s="26"/>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row>
    <row r="221" spans="2:78" x14ac:dyDescent="0.25">
      <c r="B221" s="26"/>
      <c r="C221" s="26"/>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row>
    <row r="222" spans="2:78" x14ac:dyDescent="0.25">
      <c r="B222" s="26"/>
      <c r="C222" s="26"/>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row>
    <row r="223" spans="2:78" x14ac:dyDescent="0.25">
      <c r="B223" s="26"/>
      <c r="C223" s="26"/>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row>
    <row r="224" spans="2:78" x14ac:dyDescent="0.25">
      <c r="B224" s="26"/>
      <c r="C224" s="26"/>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row>
    <row r="225" spans="2:78" x14ac:dyDescent="0.25">
      <c r="B225" s="26"/>
      <c r="C225" s="26"/>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row>
    <row r="226" spans="2:78" x14ac:dyDescent="0.25">
      <c r="B226" s="26"/>
      <c r="C226" s="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row>
    <row r="227" spans="2:78" x14ac:dyDescent="0.25">
      <c r="B227" s="26"/>
      <c r="C227" s="26"/>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row>
    <row r="228" spans="2:78" x14ac:dyDescent="0.25">
      <c r="B228" s="26"/>
      <c r="C228" s="26"/>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row>
    <row r="229" spans="2:78" x14ac:dyDescent="0.25">
      <c r="B229" s="26"/>
      <c r="C229" s="26"/>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row>
    <row r="230" spans="2:78" x14ac:dyDescent="0.25">
      <c r="B230" s="26"/>
      <c r="C230" s="26"/>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row>
    <row r="231" spans="2:78" x14ac:dyDescent="0.25">
      <c r="B231" s="26"/>
      <c r="C231" s="26"/>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row>
    <row r="232" spans="2:78" x14ac:dyDescent="0.25">
      <c r="B232" s="26"/>
      <c r="C232" s="26"/>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row>
    <row r="233" spans="2:78" x14ac:dyDescent="0.25">
      <c r="B233" s="26"/>
      <c r="C233" s="26"/>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row>
    <row r="234" spans="2:78" x14ac:dyDescent="0.25">
      <c r="B234" s="26"/>
      <c r="C234" s="26"/>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row>
    <row r="235" spans="2:78" x14ac:dyDescent="0.25">
      <c r="B235" s="26"/>
      <c r="C235" s="26"/>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row>
    <row r="236" spans="2:78" x14ac:dyDescent="0.25">
      <c r="B236" s="26"/>
      <c r="C236" s="2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row>
    <row r="237" spans="2:78" x14ac:dyDescent="0.25">
      <c r="B237" s="26"/>
      <c r="C237" s="26"/>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row>
    <row r="238" spans="2:78" x14ac:dyDescent="0.25">
      <c r="B238" s="26"/>
      <c r="C238" s="26"/>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row>
    <row r="239" spans="2:78" x14ac:dyDescent="0.25">
      <c r="B239" s="26"/>
      <c r="C239" s="26"/>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row>
    <row r="240" spans="2:78" x14ac:dyDescent="0.25">
      <c r="B240" s="26"/>
      <c r="C240" s="26"/>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row>
    <row r="241" spans="2:78" x14ac:dyDescent="0.25">
      <c r="B241" s="26"/>
      <c r="C241" s="26"/>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row>
    <row r="242" spans="2:78" x14ac:dyDescent="0.25">
      <c r="B242" s="26"/>
      <c r="C242" s="26"/>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row>
    <row r="243" spans="2:78" x14ac:dyDescent="0.25">
      <c r="B243" s="26"/>
      <c r="C243" s="26"/>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row>
    <row r="244" spans="2:78" x14ac:dyDescent="0.25">
      <c r="B244" s="26"/>
      <c r="C244" s="26"/>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row>
    <row r="245" spans="2:78" x14ac:dyDescent="0.25">
      <c r="B245" s="26"/>
      <c r="C245" s="26"/>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row>
    <row r="246" spans="2:78" x14ac:dyDescent="0.25">
      <c r="B246" s="26"/>
      <c r="C246" s="2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row>
    <row r="247" spans="2:78" x14ac:dyDescent="0.25">
      <c r="B247" s="26"/>
      <c r="C247" s="26"/>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row>
    <row r="248" spans="2:78" x14ac:dyDescent="0.25">
      <c r="B248" s="26"/>
      <c r="C248" s="26"/>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row>
    <row r="249" spans="2:78" x14ac:dyDescent="0.25">
      <c r="B249" s="26"/>
      <c r="C249" s="26"/>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row>
    <row r="250" spans="2:78" x14ac:dyDescent="0.25">
      <c r="B250" s="26"/>
      <c r="C250" s="26"/>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row>
    <row r="251" spans="2:78" x14ac:dyDescent="0.25">
      <c r="B251" s="26"/>
      <c r="C251" s="26"/>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row>
    <row r="252" spans="2:78" x14ac:dyDescent="0.25">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row>
    <row r="253" spans="2:78" x14ac:dyDescent="0.25">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row>
    <row r="254" spans="2:78" x14ac:dyDescent="0.25">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row>
    <row r="255" spans="2:78" x14ac:dyDescent="0.2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row>
    <row r="256" spans="2:78" x14ac:dyDescent="0.25">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row>
    <row r="257" spans="4:78" x14ac:dyDescent="0.25">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row>
    <row r="258" spans="4:78" x14ac:dyDescent="0.25">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row>
    <row r="259" spans="4:78" x14ac:dyDescent="0.25">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row>
    <row r="260" spans="4:78" x14ac:dyDescent="0.25">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row>
    <row r="261" spans="4:78" x14ac:dyDescent="0.25">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row>
    <row r="262" spans="4:78" x14ac:dyDescent="0.25">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row>
    <row r="263" spans="4:78" x14ac:dyDescent="0.25">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row>
    <row r="264" spans="4:78" x14ac:dyDescent="0.25">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row>
    <row r="265" spans="4:78" x14ac:dyDescent="0.2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row>
    <row r="266" spans="4:78" x14ac:dyDescent="0.25">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row>
    <row r="267" spans="4:78" x14ac:dyDescent="0.25">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row>
    <row r="268" spans="4:78" x14ac:dyDescent="0.25">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row>
    <row r="269" spans="4:78" x14ac:dyDescent="0.25">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row>
    <row r="270" spans="4:78" x14ac:dyDescent="0.25">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row>
    <row r="271" spans="4:78" x14ac:dyDescent="0.25">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row>
    <row r="272" spans="4:78" x14ac:dyDescent="0.25">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row>
    <row r="273" spans="4:78" x14ac:dyDescent="0.25">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row>
    <row r="274" spans="4:78" x14ac:dyDescent="0.25">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row>
    <row r="275" spans="4:78" x14ac:dyDescent="0.2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row>
    <row r="276" spans="4:78" x14ac:dyDescent="0.25">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row>
    <row r="277" spans="4:78" x14ac:dyDescent="0.25">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row>
    <row r="278" spans="4:78" x14ac:dyDescent="0.25">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row>
    <row r="279" spans="4:78" x14ac:dyDescent="0.25">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row>
    <row r="280" spans="4:78" x14ac:dyDescent="0.25">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row>
    <row r="281" spans="4:78" x14ac:dyDescent="0.25">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row>
    <row r="282" spans="4:78" x14ac:dyDescent="0.25">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row>
    <row r="283" spans="4:78" x14ac:dyDescent="0.25">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row>
    <row r="284" spans="4:78" x14ac:dyDescent="0.25">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row>
    <row r="285" spans="4:78" x14ac:dyDescent="0.2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row>
    <row r="286" spans="4:78" x14ac:dyDescent="0.25">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row>
    <row r="287" spans="4:78" x14ac:dyDescent="0.25">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row>
    <row r="288" spans="4:78" x14ac:dyDescent="0.25">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row>
    <row r="289" spans="4:78" x14ac:dyDescent="0.25">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row>
    <row r="290" spans="4:78" x14ac:dyDescent="0.25">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row>
    <row r="291" spans="4:78" x14ac:dyDescent="0.25">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row>
    <row r="292" spans="4:78" x14ac:dyDescent="0.25">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row>
    <row r="293" spans="4:78" x14ac:dyDescent="0.25">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row>
    <row r="294" spans="4:78" x14ac:dyDescent="0.25">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row>
    <row r="295" spans="4:78" x14ac:dyDescent="0.2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row>
    <row r="296" spans="4:78" x14ac:dyDescent="0.25">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row>
    <row r="297" spans="4:78" x14ac:dyDescent="0.25">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row>
    <row r="298" spans="4:78" x14ac:dyDescent="0.25">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row>
    <row r="299" spans="4:78" x14ac:dyDescent="0.25">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row>
    <row r="300" spans="4:78" x14ac:dyDescent="0.25">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row>
    <row r="301" spans="4:78" x14ac:dyDescent="0.25">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row>
    <row r="302" spans="4:78" x14ac:dyDescent="0.25">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row>
    <row r="303" spans="4:78" x14ac:dyDescent="0.25">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row>
    <row r="304" spans="4:78" x14ac:dyDescent="0.25">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row>
    <row r="305" spans="4:78" x14ac:dyDescent="0.2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row>
    <row r="306" spans="4:78" x14ac:dyDescent="0.25">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row>
    <row r="307" spans="4:78" x14ac:dyDescent="0.25">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row>
    <row r="308" spans="4:78" x14ac:dyDescent="0.25">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row>
    <row r="309" spans="4:78" x14ac:dyDescent="0.25">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row>
    <row r="310" spans="4:78" x14ac:dyDescent="0.25">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row>
    <row r="311" spans="4:78" x14ac:dyDescent="0.25">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row>
    <row r="312" spans="4:78" x14ac:dyDescent="0.25">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row>
    <row r="313" spans="4:78" x14ac:dyDescent="0.25">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row>
    <row r="314" spans="4:78" x14ac:dyDescent="0.25">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row>
    <row r="315" spans="4:78" x14ac:dyDescent="0.2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row>
    <row r="316" spans="4:78" x14ac:dyDescent="0.25">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row>
    <row r="317" spans="4:78" x14ac:dyDescent="0.25">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row>
    <row r="318" spans="4:78" x14ac:dyDescent="0.25">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row>
    <row r="319" spans="4:78" x14ac:dyDescent="0.25">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row>
    <row r="320" spans="4:78" x14ac:dyDescent="0.25">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row>
    <row r="321" spans="4:78" x14ac:dyDescent="0.25">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row>
    <row r="322" spans="4:78" x14ac:dyDescent="0.25">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row>
    <row r="323" spans="4:78" x14ac:dyDescent="0.25">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row>
    <row r="324" spans="4:78" x14ac:dyDescent="0.25">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row>
    <row r="325" spans="4:78" x14ac:dyDescent="0.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row>
    <row r="326" spans="4:78" x14ac:dyDescent="0.25">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row>
    <row r="327" spans="4:78" x14ac:dyDescent="0.25">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row>
    <row r="328" spans="4:78" x14ac:dyDescent="0.25">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row>
    <row r="329" spans="4:78" x14ac:dyDescent="0.25">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row>
    <row r="330" spans="4:78" x14ac:dyDescent="0.25">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row>
    <row r="331" spans="4:78" x14ac:dyDescent="0.25">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row>
    <row r="332" spans="4:78" x14ac:dyDescent="0.25">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row>
    <row r="333" spans="4:78" x14ac:dyDescent="0.25">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row>
    <row r="334" spans="4:78" x14ac:dyDescent="0.25">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row>
    <row r="335" spans="4:78" x14ac:dyDescent="0.2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row>
    <row r="336" spans="4:78" x14ac:dyDescent="0.25">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row>
    <row r="337" spans="4:78" x14ac:dyDescent="0.25">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row>
    <row r="338" spans="4:78" x14ac:dyDescent="0.25">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row>
    <row r="339" spans="4:78" x14ac:dyDescent="0.25">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row>
    <row r="340" spans="4:78" x14ac:dyDescent="0.25">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row>
    <row r="341" spans="4:78" x14ac:dyDescent="0.25">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row>
    <row r="342" spans="4:78" x14ac:dyDescent="0.25">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row>
    <row r="343" spans="4:78" x14ac:dyDescent="0.25">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row>
    <row r="344" spans="4:78" x14ac:dyDescent="0.25">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row>
    <row r="345" spans="4:78" x14ac:dyDescent="0.2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row>
    <row r="346" spans="4:78" x14ac:dyDescent="0.25">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row>
    <row r="347" spans="4:78" x14ac:dyDescent="0.25">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row>
    <row r="348" spans="4:78" x14ac:dyDescent="0.25">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row>
    <row r="349" spans="4:78" x14ac:dyDescent="0.25">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row>
    <row r="350" spans="4:78" x14ac:dyDescent="0.25">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row>
    <row r="351" spans="4:78" x14ac:dyDescent="0.25">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row>
    <row r="352" spans="4:78" x14ac:dyDescent="0.25">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row>
    <row r="353" spans="4:78" x14ac:dyDescent="0.25">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row>
    <row r="354" spans="4:78" x14ac:dyDescent="0.25">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row>
    <row r="355" spans="4:78" x14ac:dyDescent="0.2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row>
    <row r="356" spans="4:78" x14ac:dyDescent="0.25">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row>
    <row r="357" spans="4:78" x14ac:dyDescent="0.25">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row>
    <row r="358" spans="4:78" x14ac:dyDescent="0.25">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row>
    <row r="359" spans="4:78" x14ac:dyDescent="0.25">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row>
    <row r="360" spans="4:78" x14ac:dyDescent="0.25">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row>
    <row r="361" spans="4:78" x14ac:dyDescent="0.25">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row>
    <row r="362" spans="4:78" x14ac:dyDescent="0.25">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row>
    <row r="363" spans="4:78" x14ac:dyDescent="0.25">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row>
    <row r="364" spans="4:78" x14ac:dyDescent="0.25">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row>
    <row r="365" spans="4:78" x14ac:dyDescent="0.2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row>
    <row r="366" spans="4:78" x14ac:dyDescent="0.25">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row>
    <row r="367" spans="4:78" x14ac:dyDescent="0.25">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row>
    <row r="368" spans="4:78" x14ac:dyDescent="0.25">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row>
    <row r="369" spans="4:78" x14ac:dyDescent="0.25">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row>
    <row r="370" spans="4:78" x14ac:dyDescent="0.25">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row>
    <row r="371" spans="4:78" x14ac:dyDescent="0.25">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row>
    <row r="372" spans="4:78" x14ac:dyDescent="0.25">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row>
    <row r="373" spans="4:78" x14ac:dyDescent="0.25">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row>
    <row r="374" spans="4:78" x14ac:dyDescent="0.25">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row>
    <row r="375" spans="4:78" x14ac:dyDescent="0.2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row>
    <row r="376" spans="4:78" x14ac:dyDescent="0.25">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row>
    <row r="377" spans="4:78" x14ac:dyDescent="0.25">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row>
    <row r="378" spans="4:78" x14ac:dyDescent="0.25">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row>
    <row r="379" spans="4:78" x14ac:dyDescent="0.25">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row>
    <row r="380" spans="4:78" x14ac:dyDescent="0.25">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row>
    <row r="381" spans="4:78" x14ac:dyDescent="0.25">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row>
    <row r="382" spans="4:78" x14ac:dyDescent="0.25">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row>
    <row r="383" spans="4:78" x14ac:dyDescent="0.25">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row>
    <row r="384" spans="4:78" x14ac:dyDescent="0.25">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row>
    <row r="385" spans="4:78" x14ac:dyDescent="0.2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row>
    <row r="386" spans="4:78" x14ac:dyDescent="0.25">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row>
    <row r="387" spans="4:78" x14ac:dyDescent="0.25">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row>
    <row r="388" spans="4:78" x14ac:dyDescent="0.25">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row>
    <row r="389" spans="4:78" x14ac:dyDescent="0.25">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row>
    <row r="390" spans="4:78" x14ac:dyDescent="0.25">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row>
    <row r="391" spans="4:78" x14ac:dyDescent="0.25">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row>
    <row r="392" spans="4:78" x14ac:dyDescent="0.25">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row>
    <row r="393" spans="4:78" x14ac:dyDescent="0.25">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row>
    <row r="394" spans="4:78" x14ac:dyDescent="0.25">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row>
    <row r="395" spans="4:78" x14ac:dyDescent="0.2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row>
    <row r="396" spans="4:78" x14ac:dyDescent="0.25">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row>
    <row r="397" spans="4:78" x14ac:dyDescent="0.25">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row>
    <row r="398" spans="4:78" x14ac:dyDescent="0.25">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row>
    <row r="399" spans="4:78" x14ac:dyDescent="0.25">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row>
    <row r="400" spans="4:78" x14ac:dyDescent="0.25">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row>
    <row r="401" spans="4:78" x14ac:dyDescent="0.25">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row>
    <row r="402" spans="4:78" x14ac:dyDescent="0.25">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row>
    <row r="403" spans="4:78" x14ac:dyDescent="0.25">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row>
    <row r="404" spans="4:78" x14ac:dyDescent="0.25">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row>
    <row r="405" spans="4:78" x14ac:dyDescent="0.2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row>
    <row r="406" spans="4:78" x14ac:dyDescent="0.25">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row>
    <row r="407" spans="4:78" x14ac:dyDescent="0.25">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row>
    <row r="408" spans="4:78" x14ac:dyDescent="0.25">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row>
    <row r="409" spans="4:78" x14ac:dyDescent="0.25">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row>
    <row r="410" spans="4:78" x14ac:dyDescent="0.25">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row>
    <row r="411" spans="4:78" x14ac:dyDescent="0.25">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row>
    <row r="412" spans="4:78" x14ac:dyDescent="0.25">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row>
    <row r="413" spans="4:78" x14ac:dyDescent="0.25">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row>
    <row r="414" spans="4:78" x14ac:dyDescent="0.25">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row>
    <row r="415" spans="4:78" x14ac:dyDescent="0.2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row>
    <row r="416" spans="4:78" x14ac:dyDescent="0.25">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row>
    <row r="417" spans="4:78" x14ac:dyDescent="0.25">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row>
    <row r="418" spans="4:78" x14ac:dyDescent="0.25">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row>
    <row r="419" spans="4:78" x14ac:dyDescent="0.25">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row>
    <row r="420" spans="4:78" x14ac:dyDescent="0.25">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row>
    <row r="421" spans="4:78" x14ac:dyDescent="0.25">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row>
    <row r="422" spans="4:78" x14ac:dyDescent="0.25">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row>
    <row r="423" spans="4:78" x14ac:dyDescent="0.25">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row>
    <row r="424" spans="4:78" x14ac:dyDescent="0.25">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row>
    <row r="425" spans="4:78" x14ac:dyDescent="0.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row>
    <row r="426" spans="4:78" x14ac:dyDescent="0.25">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row>
    <row r="427" spans="4:78" x14ac:dyDescent="0.25">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row>
    <row r="428" spans="4:78" x14ac:dyDescent="0.25">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row>
    <row r="429" spans="4:78" x14ac:dyDescent="0.25">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row>
    <row r="430" spans="4:78" x14ac:dyDescent="0.25">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row>
    <row r="431" spans="4:78" x14ac:dyDescent="0.25">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row>
    <row r="432" spans="4:78" x14ac:dyDescent="0.25">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row>
    <row r="433" spans="4:78" x14ac:dyDescent="0.25">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row>
    <row r="434" spans="4:78" x14ac:dyDescent="0.25">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row>
    <row r="435" spans="4:78" x14ac:dyDescent="0.2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row>
    <row r="436" spans="4:78" x14ac:dyDescent="0.25">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row>
    <row r="437" spans="4:78" x14ac:dyDescent="0.25">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row>
    <row r="438" spans="4:78" x14ac:dyDescent="0.25">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row>
    <row r="439" spans="4:78" x14ac:dyDescent="0.25">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row>
    <row r="440" spans="4:78" x14ac:dyDescent="0.25">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row>
    <row r="441" spans="4:78" x14ac:dyDescent="0.25">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row>
    <row r="442" spans="4:78" x14ac:dyDescent="0.25">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row>
    <row r="443" spans="4:78" x14ac:dyDescent="0.25">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row>
    <row r="444" spans="4:78" x14ac:dyDescent="0.25">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row>
    <row r="445" spans="4:78" x14ac:dyDescent="0.2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row>
    <row r="446" spans="4:78" x14ac:dyDescent="0.25">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row>
    <row r="447" spans="4:78" x14ac:dyDescent="0.25">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row>
    <row r="448" spans="4:78" x14ac:dyDescent="0.25">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row>
    <row r="449" spans="4:78" x14ac:dyDescent="0.25">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row>
    <row r="450" spans="4:78" x14ac:dyDescent="0.25">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row>
    <row r="451" spans="4:78" x14ac:dyDescent="0.25">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row>
    <row r="452" spans="4:78" x14ac:dyDescent="0.25">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row>
    <row r="453" spans="4:78" x14ac:dyDescent="0.25">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row>
    <row r="454" spans="4:78" x14ac:dyDescent="0.25">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row>
    <row r="455" spans="4:78" x14ac:dyDescent="0.2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row>
    <row r="456" spans="4:78" x14ac:dyDescent="0.25">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row>
    <row r="457" spans="4:78" x14ac:dyDescent="0.25">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row>
    <row r="458" spans="4:78" x14ac:dyDescent="0.25">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row>
    <row r="459" spans="4:78" x14ac:dyDescent="0.25">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row>
    <row r="460" spans="4:78" x14ac:dyDescent="0.25">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row>
    <row r="461" spans="4:78" x14ac:dyDescent="0.25">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row>
    <row r="462" spans="4:78" x14ac:dyDescent="0.25">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row>
    <row r="463" spans="4:78" x14ac:dyDescent="0.25">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row>
    <row r="464" spans="4:78" x14ac:dyDescent="0.25">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row>
    <row r="465" spans="4:78" x14ac:dyDescent="0.2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row>
    <row r="466" spans="4:78" x14ac:dyDescent="0.25">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row>
    <row r="467" spans="4:78" x14ac:dyDescent="0.25">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row>
    <row r="468" spans="4:78" x14ac:dyDescent="0.25">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row>
    <row r="469" spans="4:78" x14ac:dyDescent="0.25">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row>
    <row r="470" spans="4:78" x14ac:dyDescent="0.25">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row>
    <row r="471" spans="4:78" x14ac:dyDescent="0.25">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row>
    <row r="472" spans="4:78" x14ac:dyDescent="0.25">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row>
    <row r="473" spans="4:78" x14ac:dyDescent="0.25">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row>
    <row r="474" spans="4:78" x14ac:dyDescent="0.25">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row>
    <row r="475" spans="4:78" x14ac:dyDescent="0.2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row>
    <row r="476" spans="4:78" x14ac:dyDescent="0.25">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row>
    <row r="477" spans="4:78" x14ac:dyDescent="0.25">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row>
    <row r="478" spans="4:78" x14ac:dyDescent="0.25">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row>
    <row r="479" spans="4:78" x14ac:dyDescent="0.25">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row>
    <row r="480" spans="4:78" x14ac:dyDescent="0.25">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row>
    <row r="481" spans="4:78" x14ac:dyDescent="0.25">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row>
    <row r="482" spans="4:78" x14ac:dyDescent="0.25">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row>
    <row r="483" spans="4:78" x14ac:dyDescent="0.25">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row>
    <row r="484" spans="4:78" x14ac:dyDescent="0.25">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row>
    <row r="485" spans="4:78" x14ac:dyDescent="0.2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row>
    <row r="486" spans="4:78" x14ac:dyDescent="0.25">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row>
    <row r="487" spans="4:78" x14ac:dyDescent="0.25">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row>
    <row r="488" spans="4:78" x14ac:dyDescent="0.25">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row>
    <row r="489" spans="4:78" x14ac:dyDescent="0.25">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row>
    <row r="490" spans="4:78" x14ac:dyDescent="0.25">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row>
    <row r="491" spans="4:78" x14ac:dyDescent="0.25">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row>
    <row r="492" spans="4:78" x14ac:dyDescent="0.25">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row>
    <row r="493" spans="4:78" x14ac:dyDescent="0.25">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row>
    <row r="494" spans="4:78" x14ac:dyDescent="0.25">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row>
    <row r="495" spans="4:78" x14ac:dyDescent="0.2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row>
    <row r="496" spans="4:78" x14ac:dyDescent="0.25">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row>
    <row r="497" spans="4:78" x14ac:dyDescent="0.25">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row>
    <row r="498" spans="4:78" x14ac:dyDescent="0.25">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row>
    <row r="499" spans="4:78" x14ac:dyDescent="0.25">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row>
    <row r="500" spans="4:78" x14ac:dyDescent="0.25">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row>
    <row r="501" spans="4:78" x14ac:dyDescent="0.25">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row>
    <row r="502" spans="4:78" x14ac:dyDescent="0.25">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row>
    <row r="503" spans="4:78" x14ac:dyDescent="0.25">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row>
    <row r="504" spans="4:78" x14ac:dyDescent="0.25">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row>
    <row r="505" spans="4:78" x14ac:dyDescent="0.2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row>
    <row r="506" spans="4:78" x14ac:dyDescent="0.25">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row>
    <row r="507" spans="4:78" x14ac:dyDescent="0.25">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row>
    <row r="508" spans="4:78" x14ac:dyDescent="0.25">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row>
    <row r="509" spans="4:78" x14ac:dyDescent="0.25">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row>
    <row r="510" spans="4:78" x14ac:dyDescent="0.25">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row>
    <row r="511" spans="4:78" x14ac:dyDescent="0.25">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row>
    <row r="512" spans="4:78" x14ac:dyDescent="0.25">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row>
    <row r="513" spans="4:78" x14ac:dyDescent="0.25">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row>
    <row r="514" spans="4:78" x14ac:dyDescent="0.25">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row>
    <row r="515" spans="4:78" x14ac:dyDescent="0.2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row>
    <row r="516" spans="4:78" x14ac:dyDescent="0.25">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row>
    <row r="517" spans="4:78" x14ac:dyDescent="0.25">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row>
    <row r="518" spans="4:78" x14ac:dyDescent="0.25">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row>
    <row r="519" spans="4:78" x14ac:dyDescent="0.25">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row>
    <row r="520" spans="4:78" x14ac:dyDescent="0.25">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row>
    <row r="521" spans="4:78" x14ac:dyDescent="0.25">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row>
    <row r="522" spans="4:78" x14ac:dyDescent="0.25">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row>
    <row r="523" spans="4:78" x14ac:dyDescent="0.25">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row>
    <row r="524" spans="4:78" x14ac:dyDescent="0.25">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row>
    <row r="525" spans="4:78" x14ac:dyDescent="0.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row>
    <row r="526" spans="4:78" x14ac:dyDescent="0.25">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row>
    <row r="527" spans="4:78" x14ac:dyDescent="0.25">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row>
    <row r="528" spans="4:78" x14ac:dyDescent="0.25">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row>
    <row r="529" spans="4:78" x14ac:dyDescent="0.25">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row>
    <row r="530" spans="4:78" x14ac:dyDescent="0.25">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row>
    <row r="531" spans="4:78" x14ac:dyDescent="0.25">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row>
    <row r="532" spans="4:78" x14ac:dyDescent="0.25">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row>
    <row r="533" spans="4:78" x14ac:dyDescent="0.25">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row>
    <row r="534" spans="4:78" x14ac:dyDescent="0.25">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row>
    <row r="535" spans="4:78" x14ac:dyDescent="0.2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row>
    <row r="536" spans="4:78" x14ac:dyDescent="0.25">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row>
    <row r="537" spans="4:78" x14ac:dyDescent="0.25">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row>
    <row r="538" spans="4:78" x14ac:dyDescent="0.25">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row>
    <row r="539" spans="4:78" x14ac:dyDescent="0.25">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row>
    <row r="540" spans="4:78" x14ac:dyDescent="0.25">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row>
    <row r="541" spans="4:78" x14ac:dyDescent="0.25">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row>
    <row r="542" spans="4:78" x14ac:dyDescent="0.25">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row>
    <row r="543" spans="4:78" x14ac:dyDescent="0.25">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row>
    <row r="544" spans="4:78" x14ac:dyDescent="0.25">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row>
    <row r="545" spans="4:78" x14ac:dyDescent="0.2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row>
    <row r="546" spans="4:78" x14ac:dyDescent="0.25">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row>
    <row r="547" spans="4:78" x14ac:dyDescent="0.25">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row>
    <row r="548" spans="4:78" x14ac:dyDescent="0.25">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row>
    <row r="549" spans="4:78" x14ac:dyDescent="0.25">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row>
    <row r="550" spans="4:78" x14ac:dyDescent="0.25">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row>
    <row r="551" spans="4:78" x14ac:dyDescent="0.25">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row>
    <row r="552" spans="4:78" x14ac:dyDescent="0.25">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row>
    <row r="553" spans="4:78" x14ac:dyDescent="0.25">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row>
    <row r="554" spans="4:78" x14ac:dyDescent="0.25">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row>
    <row r="555" spans="4:78" x14ac:dyDescent="0.2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row>
    <row r="556" spans="4:78" x14ac:dyDescent="0.25">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row>
    <row r="557" spans="4:78" x14ac:dyDescent="0.25">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row>
    <row r="558" spans="4:78" x14ac:dyDescent="0.25">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row>
    <row r="559" spans="4:78" x14ac:dyDescent="0.25">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row>
    <row r="560" spans="4:78" x14ac:dyDescent="0.25">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row>
    <row r="561" spans="4:78" x14ac:dyDescent="0.25">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row>
    <row r="562" spans="4:78" x14ac:dyDescent="0.25">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row>
    <row r="563" spans="4:78" x14ac:dyDescent="0.25">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row>
    <row r="564" spans="4:78" x14ac:dyDescent="0.25">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row>
    <row r="565" spans="4:78" x14ac:dyDescent="0.2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row>
    <row r="566" spans="4:78" x14ac:dyDescent="0.25">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row>
    <row r="567" spans="4:78" x14ac:dyDescent="0.25">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row>
    <row r="568" spans="4:78" x14ac:dyDescent="0.25">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row>
    <row r="569" spans="4:78" x14ac:dyDescent="0.25">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row>
    <row r="570" spans="4:78" x14ac:dyDescent="0.25">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row>
    <row r="571" spans="4:78" x14ac:dyDescent="0.25">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row>
    <row r="572" spans="4:78" x14ac:dyDescent="0.25">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row>
    <row r="573" spans="4:78" x14ac:dyDescent="0.25">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row>
    <row r="574" spans="4:78" x14ac:dyDescent="0.25">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row>
    <row r="575" spans="4:78" x14ac:dyDescent="0.2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row>
    <row r="576" spans="4:78" x14ac:dyDescent="0.25">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row>
    <row r="577" spans="4:78" x14ac:dyDescent="0.25">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row>
    <row r="578" spans="4:78" x14ac:dyDescent="0.25">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row>
    <row r="579" spans="4:78" x14ac:dyDescent="0.25">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row>
    <row r="580" spans="4:78" x14ac:dyDescent="0.25">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row>
    <row r="581" spans="4:78" x14ac:dyDescent="0.25">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row>
    <row r="582" spans="4:78" x14ac:dyDescent="0.25">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row>
    <row r="583" spans="4:78" x14ac:dyDescent="0.25">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row>
    <row r="584" spans="4:78" x14ac:dyDescent="0.25">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row>
    <row r="585" spans="4:78" x14ac:dyDescent="0.2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row>
    <row r="586" spans="4:78" x14ac:dyDescent="0.25">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row>
    <row r="587" spans="4:78" x14ac:dyDescent="0.25">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row>
    <row r="588" spans="4:78" x14ac:dyDescent="0.25">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row>
    <row r="589" spans="4:78" x14ac:dyDescent="0.25">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row>
    <row r="590" spans="4:78" x14ac:dyDescent="0.25">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row>
    <row r="591" spans="4:78" x14ac:dyDescent="0.25">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row>
    <row r="592" spans="4:78" x14ac:dyDescent="0.25">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row>
    <row r="593" spans="4:78" x14ac:dyDescent="0.25">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row>
    <row r="594" spans="4:78" x14ac:dyDescent="0.25">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row>
    <row r="595" spans="4:78" x14ac:dyDescent="0.2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row>
    <row r="596" spans="4:78" x14ac:dyDescent="0.25">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row>
    <row r="597" spans="4:78" x14ac:dyDescent="0.25">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row>
    <row r="598" spans="4:78" x14ac:dyDescent="0.25">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row>
    <row r="599" spans="4:78" x14ac:dyDescent="0.25">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row>
    <row r="600" spans="4:78" x14ac:dyDescent="0.25">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row>
    <row r="601" spans="4:78" x14ac:dyDescent="0.25">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row>
    <row r="602" spans="4:78" x14ac:dyDescent="0.25">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row>
    <row r="603" spans="4:78" x14ac:dyDescent="0.25">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row>
    <row r="604" spans="4:78" x14ac:dyDescent="0.25">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row>
    <row r="605" spans="4:78" x14ac:dyDescent="0.2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row>
    <row r="606" spans="4:78" x14ac:dyDescent="0.25">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row>
    <row r="607" spans="4:78" x14ac:dyDescent="0.25">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row>
    <row r="608" spans="4:78" x14ac:dyDescent="0.25">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row>
    <row r="609" spans="4:78" x14ac:dyDescent="0.25">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row>
    <row r="610" spans="4:78" x14ac:dyDescent="0.25">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row>
    <row r="611" spans="4:78" x14ac:dyDescent="0.25">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row>
    <row r="612" spans="4:78" x14ac:dyDescent="0.25">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row>
    <row r="613" spans="4:78" x14ac:dyDescent="0.25">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row>
    <row r="614" spans="4:78" x14ac:dyDescent="0.25">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row>
    <row r="615" spans="4:78" x14ac:dyDescent="0.2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row>
    <row r="616" spans="4:78" x14ac:dyDescent="0.25">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row>
    <row r="617" spans="4:78" x14ac:dyDescent="0.25">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row>
    <row r="618" spans="4:78" x14ac:dyDescent="0.25">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row>
    <row r="619" spans="4:78" x14ac:dyDescent="0.25">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row>
    <row r="620" spans="4:78" x14ac:dyDescent="0.25">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row>
    <row r="621" spans="4:78" x14ac:dyDescent="0.25">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row>
    <row r="622" spans="4:78" x14ac:dyDescent="0.25">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row>
    <row r="623" spans="4:78" x14ac:dyDescent="0.25">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row>
    <row r="624" spans="4:78" x14ac:dyDescent="0.25">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row>
    <row r="625" spans="4:78" x14ac:dyDescent="0.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row>
    <row r="626" spans="4:78" x14ac:dyDescent="0.25">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row>
    <row r="627" spans="4:78" x14ac:dyDescent="0.25">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row>
    <row r="628" spans="4:78" x14ac:dyDescent="0.25">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row>
    <row r="629" spans="4:78" x14ac:dyDescent="0.25">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row>
    <row r="630" spans="4:78" x14ac:dyDescent="0.25">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row>
    <row r="631" spans="4:78" x14ac:dyDescent="0.25">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row>
    <row r="632" spans="4:78" x14ac:dyDescent="0.25">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row>
    <row r="633" spans="4:78" x14ac:dyDescent="0.25">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row>
    <row r="634" spans="4:78" x14ac:dyDescent="0.25">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row>
    <row r="635" spans="4:78" x14ac:dyDescent="0.2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row>
    <row r="636" spans="4:78" x14ac:dyDescent="0.25">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row>
    <row r="637" spans="4:78" x14ac:dyDescent="0.25">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c r="AL637"/>
      <c r="AM637"/>
      <c r="AN637"/>
      <c r="AO637"/>
      <c r="AP637"/>
      <c r="AQ637"/>
      <c r="AR637"/>
      <c r="AS637"/>
      <c r="AT637"/>
      <c r="AU637"/>
      <c r="AV637"/>
      <c r="AW637"/>
      <c r="AX637"/>
      <c r="AY637"/>
      <c r="AZ637"/>
      <c r="BA637"/>
      <c r="BB637"/>
      <c r="BC637"/>
      <c r="BD637"/>
      <c r="BE637"/>
      <c r="BF637"/>
      <c r="BG637"/>
      <c r="BH637"/>
      <c r="BI637"/>
      <c r="BJ637"/>
      <c r="BK637"/>
      <c r="BL637"/>
      <c r="BM637"/>
      <c r="BN637"/>
      <c r="BO637"/>
      <c r="BP637"/>
      <c r="BQ637"/>
      <c r="BR637"/>
      <c r="BS637"/>
      <c r="BT637"/>
      <c r="BU637"/>
      <c r="BV637"/>
      <c r="BW637"/>
      <c r="BX637"/>
      <c r="BY637"/>
      <c r="BZ637"/>
    </row>
    <row r="638" spans="4:78" x14ac:dyDescent="0.25">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c r="AL638"/>
      <c r="AM638"/>
      <c r="AN638"/>
      <c r="AO638"/>
      <c r="AP638"/>
      <c r="AQ638"/>
      <c r="AR638"/>
      <c r="AS638"/>
      <c r="AT638"/>
      <c r="AU638"/>
      <c r="AV638"/>
      <c r="AW638"/>
      <c r="AX638"/>
      <c r="AY638"/>
      <c r="AZ638"/>
      <c r="BA638"/>
      <c r="BB638"/>
      <c r="BC638"/>
      <c r="BD638"/>
      <c r="BE638"/>
      <c r="BF638"/>
      <c r="BG638"/>
      <c r="BH638"/>
      <c r="BI638"/>
      <c r="BJ638"/>
      <c r="BK638"/>
      <c r="BL638"/>
      <c r="BM638"/>
      <c r="BN638"/>
      <c r="BO638"/>
      <c r="BP638"/>
      <c r="BQ638"/>
      <c r="BR638"/>
      <c r="BS638"/>
      <c r="BT638"/>
      <c r="BU638"/>
      <c r="BV638"/>
      <c r="BW638"/>
      <c r="BX638"/>
      <c r="BY638"/>
      <c r="BZ638"/>
    </row>
    <row r="639" spans="4:78" x14ac:dyDescent="0.25">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c r="AL639"/>
      <c r="AM639"/>
      <c r="AN639"/>
      <c r="AO639"/>
      <c r="AP639"/>
      <c r="AQ639"/>
      <c r="AR639"/>
      <c r="AS639"/>
      <c r="AT639"/>
      <c r="AU639"/>
      <c r="AV639"/>
      <c r="AW639"/>
      <c r="AX639"/>
      <c r="AY639"/>
      <c r="AZ639"/>
      <c r="BA639"/>
      <c r="BB639"/>
      <c r="BC639"/>
      <c r="BD639"/>
      <c r="BE639"/>
      <c r="BF639"/>
      <c r="BG639"/>
      <c r="BH639"/>
      <c r="BI639"/>
      <c r="BJ639"/>
      <c r="BK639"/>
      <c r="BL639"/>
      <c r="BM639"/>
      <c r="BN639"/>
      <c r="BO639"/>
      <c r="BP639"/>
      <c r="BQ639"/>
      <c r="BR639"/>
      <c r="BS639"/>
      <c r="BT639"/>
      <c r="BU639"/>
      <c r="BV639"/>
      <c r="BW639"/>
      <c r="BX639"/>
      <c r="BY639"/>
      <c r="BZ639"/>
    </row>
    <row r="640" spans="4:78" x14ac:dyDescent="0.25">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c r="AL640"/>
      <c r="AM640"/>
      <c r="AN640"/>
      <c r="AO640"/>
      <c r="AP640"/>
      <c r="AQ640"/>
      <c r="AR640"/>
      <c r="AS640"/>
      <c r="AT640"/>
      <c r="AU640"/>
      <c r="AV640"/>
      <c r="AW640"/>
      <c r="AX640"/>
      <c r="AY640"/>
      <c r="AZ640"/>
      <c r="BA640"/>
      <c r="BB640"/>
      <c r="BC640"/>
      <c r="BD640"/>
      <c r="BE640"/>
      <c r="BF640"/>
      <c r="BG640"/>
      <c r="BH640"/>
      <c r="BI640"/>
      <c r="BJ640"/>
      <c r="BK640"/>
      <c r="BL640"/>
      <c r="BM640"/>
      <c r="BN640"/>
      <c r="BO640"/>
      <c r="BP640"/>
      <c r="BQ640"/>
      <c r="BR640"/>
      <c r="BS640"/>
      <c r="BT640"/>
      <c r="BU640"/>
      <c r="BV640"/>
      <c r="BW640"/>
      <c r="BX640"/>
      <c r="BY640"/>
      <c r="BZ640"/>
    </row>
    <row r="641" spans="4:78" x14ac:dyDescent="0.25">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row>
    <row r="642" spans="4:78" x14ac:dyDescent="0.25">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row>
    <row r="643" spans="4:78" x14ac:dyDescent="0.25">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row>
    <row r="644" spans="4:78" x14ac:dyDescent="0.25">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row>
    <row r="645" spans="4:78" x14ac:dyDescent="0.2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row>
    <row r="646" spans="4:78" x14ac:dyDescent="0.25">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row>
    <row r="647" spans="4:78" x14ac:dyDescent="0.25">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row>
    <row r="648" spans="4:78" x14ac:dyDescent="0.25">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row>
    <row r="649" spans="4:78" x14ac:dyDescent="0.25">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row>
    <row r="650" spans="4:78" x14ac:dyDescent="0.25">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row>
    <row r="651" spans="4:78" x14ac:dyDescent="0.25">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row>
    <row r="652" spans="4:78" x14ac:dyDescent="0.25">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row>
    <row r="653" spans="4:78" x14ac:dyDescent="0.25">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row>
    <row r="654" spans="4:78" x14ac:dyDescent="0.25">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row>
    <row r="655" spans="4:78" x14ac:dyDescent="0.2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row>
    <row r="656" spans="4:78" x14ac:dyDescent="0.25">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row>
    <row r="657" spans="4:78" x14ac:dyDescent="0.25">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row>
    <row r="658" spans="4:78" x14ac:dyDescent="0.25">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row>
    <row r="659" spans="4:78" x14ac:dyDescent="0.25">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row>
    <row r="660" spans="4:78" x14ac:dyDescent="0.25">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row>
    <row r="661" spans="4:78" x14ac:dyDescent="0.25">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row>
    <row r="662" spans="4:78" x14ac:dyDescent="0.25">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row>
    <row r="663" spans="4:78" x14ac:dyDescent="0.25">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row>
    <row r="664" spans="4:78" x14ac:dyDescent="0.25">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row>
    <row r="665" spans="4:78" x14ac:dyDescent="0.2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row>
    <row r="666" spans="4:78" x14ac:dyDescent="0.25">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row>
    <row r="667" spans="4:78" x14ac:dyDescent="0.25">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row>
    <row r="668" spans="4:78" x14ac:dyDescent="0.25">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row>
    <row r="669" spans="4:78" x14ac:dyDescent="0.25">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row>
    <row r="670" spans="4:78" x14ac:dyDescent="0.25">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row>
    <row r="671" spans="4:78" x14ac:dyDescent="0.25">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row>
    <row r="672" spans="4:78" x14ac:dyDescent="0.25">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row>
    <row r="673" spans="4:78" x14ac:dyDescent="0.25">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row>
    <row r="674" spans="4:78" x14ac:dyDescent="0.25">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row>
    <row r="675" spans="4:78" x14ac:dyDescent="0.2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row>
    <row r="676" spans="4:78" x14ac:dyDescent="0.25">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row>
    <row r="677" spans="4:78" x14ac:dyDescent="0.25">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row>
    <row r="678" spans="4:78" x14ac:dyDescent="0.25">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row>
    <row r="679" spans="4:78" x14ac:dyDescent="0.25">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row>
    <row r="680" spans="4:78" x14ac:dyDescent="0.25">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row>
    <row r="681" spans="4:78" x14ac:dyDescent="0.25">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row>
    <row r="682" spans="4:78" x14ac:dyDescent="0.25">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row>
    <row r="683" spans="4:78" x14ac:dyDescent="0.25">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row>
    <row r="684" spans="4:78" x14ac:dyDescent="0.25">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row>
    <row r="685" spans="4:78" x14ac:dyDescent="0.2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row>
    <row r="686" spans="4:78" x14ac:dyDescent="0.25">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row>
    <row r="687" spans="4:78" x14ac:dyDescent="0.25">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row>
    <row r="688" spans="4:78" x14ac:dyDescent="0.25">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row>
    <row r="689" spans="4:78" x14ac:dyDescent="0.25">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c r="AZ689"/>
      <c r="BA689"/>
      <c r="BB689"/>
      <c r="BC689"/>
      <c r="BD689"/>
      <c r="BE689"/>
      <c r="BF689"/>
      <c r="BG689"/>
      <c r="BH689"/>
      <c r="BI689"/>
      <c r="BJ689"/>
      <c r="BK689"/>
      <c r="BL689"/>
      <c r="BM689"/>
      <c r="BN689"/>
      <c r="BO689"/>
      <c r="BP689"/>
      <c r="BQ689"/>
      <c r="BR689"/>
      <c r="BS689"/>
      <c r="BT689"/>
      <c r="BU689"/>
      <c r="BV689"/>
      <c r="BW689"/>
      <c r="BX689"/>
      <c r="BY689"/>
      <c r="BZ689"/>
    </row>
    <row r="690" spans="4:78" x14ac:dyDescent="0.25">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c r="AL690"/>
      <c r="AM690"/>
      <c r="AN690"/>
      <c r="AO690"/>
      <c r="AP690"/>
      <c r="AQ690"/>
      <c r="AR690"/>
      <c r="AS690"/>
      <c r="AT690"/>
      <c r="AU690"/>
      <c r="AV690"/>
      <c r="AW690"/>
      <c r="AX690"/>
      <c r="AY690"/>
      <c r="AZ690"/>
      <c r="BA690"/>
      <c r="BB690"/>
      <c r="BC690"/>
      <c r="BD690"/>
      <c r="BE690"/>
      <c r="BF690"/>
      <c r="BG690"/>
      <c r="BH690"/>
      <c r="BI690"/>
      <c r="BJ690"/>
      <c r="BK690"/>
      <c r="BL690"/>
      <c r="BM690"/>
      <c r="BN690"/>
      <c r="BO690"/>
      <c r="BP690"/>
      <c r="BQ690"/>
      <c r="BR690"/>
      <c r="BS690"/>
      <c r="BT690"/>
      <c r="BU690"/>
      <c r="BV690"/>
      <c r="BW690"/>
      <c r="BX690"/>
      <c r="BY690"/>
      <c r="BZ690"/>
    </row>
    <row r="691" spans="4:78" x14ac:dyDescent="0.25">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c r="AL691"/>
      <c r="AM691"/>
      <c r="AN691"/>
      <c r="AO691"/>
      <c r="AP691"/>
      <c r="AQ691"/>
      <c r="AR691"/>
      <c r="AS691"/>
      <c r="AT691"/>
      <c r="AU691"/>
      <c r="AV691"/>
      <c r="AW691"/>
      <c r="AX691"/>
      <c r="AY691"/>
      <c r="AZ691"/>
      <c r="BA691"/>
      <c r="BB691"/>
      <c r="BC691"/>
      <c r="BD691"/>
      <c r="BE691"/>
      <c r="BF691"/>
      <c r="BG691"/>
      <c r="BH691"/>
      <c r="BI691"/>
      <c r="BJ691"/>
      <c r="BK691"/>
      <c r="BL691"/>
      <c r="BM691"/>
      <c r="BN691"/>
      <c r="BO691"/>
      <c r="BP691"/>
      <c r="BQ691"/>
      <c r="BR691"/>
      <c r="BS691"/>
      <c r="BT691"/>
      <c r="BU691"/>
      <c r="BV691"/>
      <c r="BW691"/>
      <c r="BX691"/>
      <c r="BY691"/>
      <c r="BZ691"/>
    </row>
    <row r="692" spans="4:78" x14ac:dyDescent="0.25">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c r="AL692"/>
      <c r="AM692"/>
      <c r="AN692"/>
      <c r="AO692"/>
      <c r="AP692"/>
      <c r="AQ692"/>
      <c r="AR692"/>
      <c r="AS692"/>
      <c r="AT692"/>
      <c r="AU692"/>
      <c r="AV692"/>
      <c r="AW692"/>
      <c r="AX692"/>
      <c r="AY692"/>
      <c r="AZ692"/>
      <c r="BA692"/>
      <c r="BB692"/>
      <c r="BC692"/>
      <c r="BD692"/>
      <c r="BE692"/>
      <c r="BF692"/>
      <c r="BG692"/>
      <c r="BH692"/>
      <c r="BI692"/>
      <c r="BJ692"/>
      <c r="BK692"/>
      <c r="BL692"/>
      <c r="BM692"/>
      <c r="BN692"/>
      <c r="BO692"/>
      <c r="BP692"/>
      <c r="BQ692"/>
      <c r="BR692"/>
      <c r="BS692"/>
      <c r="BT692"/>
      <c r="BU692"/>
      <c r="BV692"/>
      <c r="BW692"/>
      <c r="BX692"/>
      <c r="BY692"/>
      <c r="BZ692"/>
    </row>
    <row r="693" spans="4:78" x14ac:dyDescent="0.25">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c r="AL693"/>
      <c r="AM693"/>
      <c r="AN693"/>
      <c r="AO693"/>
      <c r="AP693"/>
      <c r="AQ693"/>
      <c r="AR693"/>
      <c r="AS693"/>
      <c r="AT693"/>
      <c r="AU693"/>
      <c r="AV693"/>
      <c r="AW693"/>
      <c r="AX693"/>
      <c r="AY693"/>
      <c r="AZ693"/>
      <c r="BA693"/>
      <c r="BB693"/>
      <c r="BC693"/>
      <c r="BD693"/>
      <c r="BE693"/>
      <c r="BF693"/>
      <c r="BG693"/>
      <c r="BH693"/>
      <c r="BI693"/>
      <c r="BJ693"/>
      <c r="BK693"/>
      <c r="BL693"/>
      <c r="BM693"/>
      <c r="BN693"/>
      <c r="BO693"/>
      <c r="BP693"/>
      <c r="BQ693"/>
      <c r="BR693"/>
      <c r="BS693"/>
      <c r="BT693"/>
      <c r="BU693"/>
      <c r="BV693"/>
      <c r="BW693"/>
      <c r="BX693"/>
      <c r="BY693"/>
      <c r="BZ693"/>
    </row>
    <row r="694" spans="4:78" x14ac:dyDescent="0.25">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c r="AL694"/>
      <c r="AM694"/>
      <c r="AN694"/>
      <c r="AO694"/>
      <c r="AP694"/>
      <c r="AQ694"/>
      <c r="AR694"/>
      <c r="AS694"/>
      <c r="AT694"/>
      <c r="AU694"/>
      <c r="AV694"/>
      <c r="AW694"/>
      <c r="AX694"/>
      <c r="AY694"/>
      <c r="AZ694"/>
      <c r="BA694"/>
      <c r="BB694"/>
      <c r="BC694"/>
      <c r="BD694"/>
      <c r="BE694"/>
      <c r="BF694"/>
      <c r="BG694"/>
      <c r="BH694"/>
      <c r="BI694"/>
      <c r="BJ694"/>
      <c r="BK694"/>
      <c r="BL694"/>
      <c r="BM694"/>
      <c r="BN694"/>
      <c r="BO694"/>
      <c r="BP694"/>
      <c r="BQ694"/>
      <c r="BR694"/>
      <c r="BS694"/>
      <c r="BT694"/>
      <c r="BU694"/>
      <c r="BV694"/>
      <c r="BW694"/>
      <c r="BX694"/>
      <c r="BY694"/>
      <c r="BZ694"/>
    </row>
    <row r="695" spans="4:78" x14ac:dyDescent="0.2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c r="AL695"/>
      <c r="AM695"/>
      <c r="AN695"/>
      <c r="AO695"/>
      <c r="AP695"/>
      <c r="AQ695"/>
      <c r="AR695"/>
      <c r="AS695"/>
      <c r="AT695"/>
      <c r="AU695"/>
      <c r="AV695"/>
      <c r="AW695"/>
      <c r="AX695"/>
      <c r="AY695"/>
      <c r="AZ695"/>
      <c r="BA695"/>
      <c r="BB695"/>
      <c r="BC695"/>
      <c r="BD695"/>
      <c r="BE695"/>
      <c r="BF695"/>
      <c r="BG695"/>
      <c r="BH695"/>
      <c r="BI695"/>
      <c r="BJ695"/>
      <c r="BK695"/>
      <c r="BL695"/>
      <c r="BM695"/>
      <c r="BN695"/>
      <c r="BO695"/>
      <c r="BP695"/>
      <c r="BQ695"/>
      <c r="BR695"/>
      <c r="BS695"/>
      <c r="BT695"/>
      <c r="BU695"/>
      <c r="BV695"/>
      <c r="BW695"/>
      <c r="BX695"/>
      <c r="BY695"/>
      <c r="BZ695"/>
    </row>
    <row r="696" spans="4:78" x14ac:dyDescent="0.25">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c r="AL696"/>
      <c r="AM696"/>
      <c r="AN696"/>
      <c r="AO696"/>
      <c r="AP696"/>
      <c r="AQ696"/>
      <c r="AR696"/>
      <c r="AS696"/>
      <c r="AT696"/>
      <c r="AU696"/>
      <c r="AV696"/>
      <c r="AW696"/>
      <c r="AX696"/>
      <c r="AY696"/>
      <c r="AZ696"/>
      <c r="BA696"/>
      <c r="BB696"/>
      <c r="BC696"/>
      <c r="BD696"/>
      <c r="BE696"/>
      <c r="BF696"/>
      <c r="BG696"/>
      <c r="BH696"/>
      <c r="BI696"/>
      <c r="BJ696"/>
      <c r="BK696"/>
      <c r="BL696"/>
      <c r="BM696"/>
      <c r="BN696"/>
      <c r="BO696"/>
      <c r="BP696"/>
      <c r="BQ696"/>
      <c r="BR696"/>
      <c r="BS696"/>
      <c r="BT696"/>
      <c r="BU696"/>
      <c r="BV696"/>
      <c r="BW696"/>
      <c r="BX696"/>
      <c r="BY696"/>
      <c r="BZ696"/>
    </row>
    <row r="697" spans="4:78" x14ac:dyDescent="0.25">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c r="AL697"/>
      <c r="AM697"/>
      <c r="AN697"/>
      <c r="AO697"/>
      <c r="AP697"/>
      <c r="AQ697"/>
      <c r="AR697"/>
      <c r="AS697"/>
      <c r="AT697"/>
      <c r="AU697"/>
      <c r="AV697"/>
      <c r="AW697"/>
      <c r="AX697"/>
      <c r="AY697"/>
      <c r="AZ697"/>
      <c r="BA697"/>
      <c r="BB697"/>
      <c r="BC697"/>
      <c r="BD697"/>
      <c r="BE697"/>
      <c r="BF697"/>
      <c r="BG697"/>
      <c r="BH697"/>
      <c r="BI697"/>
      <c r="BJ697"/>
      <c r="BK697"/>
      <c r="BL697"/>
      <c r="BM697"/>
      <c r="BN697"/>
      <c r="BO697"/>
      <c r="BP697"/>
      <c r="BQ697"/>
      <c r="BR697"/>
      <c r="BS697"/>
      <c r="BT697"/>
      <c r="BU697"/>
      <c r="BV697"/>
      <c r="BW697"/>
      <c r="BX697"/>
      <c r="BY697"/>
      <c r="BZ697"/>
    </row>
    <row r="698" spans="4:78" x14ac:dyDescent="0.25">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c r="AL698"/>
      <c r="AM698"/>
      <c r="AN698"/>
      <c r="AO698"/>
      <c r="AP698"/>
      <c r="AQ698"/>
      <c r="AR698"/>
      <c r="AS698"/>
      <c r="AT698"/>
      <c r="AU698"/>
      <c r="AV698"/>
      <c r="AW698"/>
      <c r="AX698"/>
      <c r="AY698"/>
      <c r="AZ698"/>
      <c r="BA698"/>
      <c r="BB698"/>
      <c r="BC698"/>
      <c r="BD698"/>
      <c r="BE698"/>
      <c r="BF698"/>
      <c r="BG698"/>
      <c r="BH698"/>
      <c r="BI698"/>
      <c r="BJ698"/>
      <c r="BK698"/>
      <c r="BL698"/>
      <c r="BM698"/>
      <c r="BN698"/>
      <c r="BO698"/>
      <c r="BP698"/>
      <c r="BQ698"/>
      <c r="BR698"/>
      <c r="BS698"/>
      <c r="BT698"/>
      <c r="BU698"/>
      <c r="BV698"/>
      <c r="BW698"/>
      <c r="BX698"/>
      <c r="BY698"/>
      <c r="BZ698"/>
    </row>
    <row r="699" spans="4:78" x14ac:dyDescent="0.25">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c r="AL699"/>
      <c r="AM699"/>
      <c r="AN699"/>
      <c r="AO699"/>
      <c r="AP699"/>
      <c r="AQ699"/>
      <c r="AR699"/>
      <c r="AS699"/>
      <c r="AT699"/>
      <c r="AU699"/>
      <c r="AV699"/>
      <c r="AW699"/>
      <c r="AX699"/>
      <c r="AY699"/>
      <c r="AZ699"/>
      <c r="BA699"/>
      <c r="BB699"/>
      <c r="BC699"/>
      <c r="BD699"/>
      <c r="BE699"/>
      <c r="BF699"/>
      <c r="BG699"/>
      <c r="BH699"/>
      <c r="BI699"/>
      <c r="BJ699"/>
      <c r="BK699"/>
      <c r="BL699"/>
      <c r="BM699"/>
      <c r="BN699"/>
      <c r="BO699"/>
      <c r="BP699"/>
      <c r="BQ699"/>
      <c r="BR699"/>
      <c r="BS699"/>
      <c r="BT699"/>
      <c r="BU699"/>
      <c r="BV699"/>
      <c r="BW699"/>
      <c r="BX699"/>
      <c r="BY699"/>
      <c r="BZ699"/>
    </row>
    <row r="700" spans="4:78" x14ac:dyDescent="0.25">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c r="AL700"/>
      <c r="AM700"/>
      <c r="AN700"/>
      <c r="AO700"/>
      <c r="AP700"/>
      <c r="AQ700"/>
      <c r="AR700"/>
      <c r="AS700"/>
      <c r="AT700"/>
      <c r="AU700"/>
      <c r="AV700"/>
      <c r="AW700"/>
      <c r="AX700"/>
      <c r="AY700"/>
      <c r="AZ700"/>
      <c r="BA700"/>
      <c r="BB700"/>
      <c r="BC700"/>
      <c r="BD700"/>
      <c r="BE700"/>
      <c r="BF700"/>
      <c r="BG700"/>
      <c r="BH700"/>
      <c r="BI700"/>
      <c r="BJ700"/>
      <c r="BK700"/>
      <c r="BL700"/>
      <c r="BM700"/>
      <c r="BN700"/>
      <c r="BO700"/>
      <c r="BP700"/>
      <c r="BQ700"/>
      <c r="BR700"/>
      <c r="BS700"/>
      <c r="BT700"/>
      <c r="BU700"/>
      <c r="BV700"/>
      <c r="BW700"/>
      <c r="BX700"/>
      <c r="BY700"/>
      <c r="BZ700"/>
    </row>
    <row r="701" spans="4:78" x14ac:dyDescent="0.25">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c r="AL701"/>
      <c r="AM701"/>
      <c r="AN701"/>
      <c r="AO701"/>
      <c r="AP701"/>
      <c r="AQ701"/>
      <c r="AR701"/>
      <c r="AS701"/>
      <c r="AT701"/>
      <c r="AU701"/>
      <c r="AV701"/>
      <c r="AW701"/>
      <c r="AX701"/>
      <c r="AY701"/>
      <c r="AZ701"/>
      <c r="BA701"/>
      <c r="BB701"/>
      <c r="BC701"/>
      <c r="BD701"/>
      <c r="BE701"/>
      <c r="BF701"/>
      <c r="BG701"/>
      <c r="BH701"/>
      <c r="BI701"/>
      <c r="BJ701"/>
      <c r="BK701"/>
      <c r="BL701"/>
      <c r="BM701"/>
      <c r="BN701"/>
      <c r="BO701"/>
      <c r="BP701"/>
      <c r="BQ701"/>
      <c r="BR701"/>
      <c r="BS701"/>
      <c r="BT701"/>
      <c r="BU701"/>
      <c r="BV701"/>
      <c r="BW701"/>
      <c r="BX701"/>
      <c r="BY701"/>
      <c r="BZ701"/>
    </row>
    <row r="702" spans="4:78" x14ac:dyDescent="0.25">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c r="AL702"/>
      <c r="AM702"/>
      <c r="AN702"/>
      <c r="AO702"/>
      <c r="AP702"/>
      <c r="AQ702"/>
      <c r="AR702"/>
      <c r="AS702"/>
      <c r="AT702"/>
      <c r="AU702"/>
      <c r="AV702"/>
      <c r="AW702"/>
      <c r="AX702"/>
      <c r="AY702"/>
      <c r="AZ702"/>
      <c r="BA702"/>
      <c r="BB702"/>
      <c r="BC702"/>
      <c r="BD702"/>
      <c r="BE702"/>
      <c r="BF702"/>
      <c r="BG702"/>
      <c r="BH702"/>
      <c r="BI702"/>
      <c r="BJ702"/>
      <c r="BK702"/>
      <c r="BL702"/>
      <c r="BM702"/>
      <c r="BN702"/>
      <c r="BO702"/>
      <c r="BP702"/>
      <c r="BQ702"/>
      <c r="BR702"/>
      <c r="BS702"/>
      <c r="BT702"/>
      <c r="BU702"/>
      <c r="BV702"/>
      <c r="BW702"/>
      <c r="BX702"/>
      <c r="BY702"/>
      <c r="BZ702"/>
    </row>
    <row r="703" spans="4:78" x14ac:dyDescent="0.25">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c r="AL703"/>
      <c r="AM703"/>
      <c r="AN703"/>
      <c r="AO703"/>
      <c r="AP703"/>
      <c r="AQ703"/>
      <c r="AR703"/>
      <c r="AS703"/>
      <c r="AT703"/>
      <c r="AU703"/>
      <c r="AV703"/>
      <c r="AW703"/>
      <c r="AX703"/>
      <c r="AY703"/>
      <c r="AZ703"/>
      <c r="BA703"/>
      <c r="BB703"/>
      <c r="BC703"/>
      <c r="BD703"/>
      <c r="BE703"/>
      <c r="BF703"/>
      <c r="BG703"/>
      <c r="BH703"/>
      <c r="BI703"/>
      <c r="BJ703"/>
      <c r="BK703"/>
      <c r="BL703"/>
      <c r="BM703"/>
      <c r="BN703"/>
      <c r="BO703"/>
      <c r="BP703"/>
      <c r="BQ703"/>
      <c r="BR703"/>
      <c r="BS703"/>
      <c r="BT703"/>
      <c r="BU703"/>
      <c r="BV703"/>
      <c r="BW703"/>
      <c r="BX703"/>
      <c r="BY703"/>
      <c r="BZ703"/>
    </row>
    <row r="704" spans="4:78" x14ac:dyDescent="0.25">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c r="AL704"/>
      <c r="AM704"/>
      <c r="AN704"/>
      <c r="AO704"/>
      <c r="AP704"/>
      <c r="AQ704"/>
      <c r="AR704"/>
      <c r="AS704"/>
      <c r="AT704"/>
      <c r="AU704"/>
      <c r="AV704"/>
      <c r="AW704"/>
      <c r="AX704"/>
      <c r="AY704"/>
      <c r="AZ704"/>
      <c r="BA704"/>
      <c r="BB704"/>
      <c r="BC704"/>
      <c r="BD704"/>
      <c r="BE704"/>
      <c r="BF704"/>
      <c r="BG704"/>
      <c r="BH704"/>
      <c r="BI704"/>
      <c r="BJ704"/>
      <c r="BK704"/>
      <c r="BL704"/>
      <c r="BM704"/>
      <c r="BN704"/>
      <c r="BO704"/>
      <c r="BP704"/>
      <c r="BQ704"/>
      <c r="BR704"/>
      <c r="BS704"/>
      <c r="BT704"/>
      <c r="BU704"/>
      <c r="BV704"/>
      <c r="BW704"/>
      <c r="BX704"/>
      <c r="BY704"/>
      <c r="BZ704"/>
    </row>
    <row r="705" spans="4:78" x14ac:dyDescent="0.2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c r="AL705"/>
      <c r="AM705"/>
      <c r="AN705"/>
      <c r="AO705"/>
      <c r="AP705"/>
      <c r="AQ705"/>
      <c r="AR705"/>
      <c r="AS705"/>
      <c r="AT705"/>
      <c r="AU705"/>
      <c r="AV705"/>
      <c r="AW705"/>
      <c r="AX705"/>
      <c r="AY705"/>
      <c r="AZ705"/>
      <c r="BA705"/>
      <c r="BB705"/>
      <c r="BC705"/>
      <c r="BD705"/>
      <c r="BE705"/>
      <c r="BF705"/>
      <c r="BG705"/>
      <c r="BH705"/>
      <c r="BI705"/>
      <c r="BJ705"/>
      <c r="BK705"/>
      <c r="BL705"/>
      <c r="BM705"/>
      <c r="BN705"/>
      <c r="BO705"/>
      <c r="BP705"/>
      <c r="BQ705"/>
      <c r="BR705"/>
      <c r="BS705"/>
      <c r="BT705"/>
      <c r="BU705"/>
      <c r="BV705"/>
      <c r="BW705"/>
      <c r="BX705"/>
      <c r="BY705"/>
      <c r="BZ705"/>
    </row>
    <row r="706" spans="4:78" x14ac:dyDescent="0.25">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c r="AL706"/>
      <c r="AM706"/>
      <c r="AN706"/>
      <c r="AO706"/>
      <c r="AP706"/>
      <c r="AQ706"/>
      <c r="AR706"/>
      <c r="AS706"/>
      <c r="AT706"/>
      <c r="AU706"/>
      <c r="AV706"/>
      <c r="AW706"/>
      <c r="AX706"/>
      <c r="AY706"/>
      <c r="AZ706"/>
      <c r="BA706"/>
      <c r="BB706"/>
      <c r="BC706"/>
      <c r="BD706"/>
      <c r="BE706"/>
      <c r="BF706"/>
      <c r="BG706"/>
      <c r="BH706"/>
      <c r="BI706"/>
      <c r="BJ706"/>
      <c r="BK706"/>
      <c r="BL706"/>
      <c r="BM706"/>
      <c r="BN706"/>
      <c r="BO706"/>
      <c r="BP706"/>
      <c r="BQ706"/>
      <c r="BR706"/>
      <c r="BS706"/>
      <c r="BT706"/>
      <c r="BU706"/>
      <c r="BV706"/>
      <c r="BW706"/>
      <c r="BX706"/>
      <c r="BY706"/>
      <c r="BZ706"/>
    </row>
    <row r="707" spans="4:78" x14ac:dyDescent="0.25">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c r="AL707"/>
      <c r="AM707"/>
      <c r="AN707"/>
      <c r="AO707"/>
      <c r="AP707"/>
      <c r="AQ707"/>
      <c r="AR707"/>
      <c r="AS707"/>
      <c r="AT707"/>
      <c r="AU707"/>
      <c r="AV707"/>
      <c r="AW707"/>
      <c r="AX707"/>
      <c r="AY707"/>
      <c r="AZ707"/>
      <c r="BA707"/>
      <c r="BB707"/>
      <c r="BC707"/>
      <c r="BD707"/>
      <c r="BE707"/>
      <c r="BF707"/>
      <c r="BG707"/>
      <c r="BH707"/>
      <c r="BI707"/>
      <c r="BJ707"/>
      <c r="BK707"/>
      <c r="BL707"/>
      <c r="BM707"/>
      <c r="BN707"/>
      <c r="BO707"/>
      <c r="BP707"/>
      <c r="BQ707"/>
      <c r="BR707"/>
      <c r="BS707"/>
      <c r="BT707"/>
      <c r="BU707"/>
      <c r="BV707"/>
      <c r="BW707"/>
      <c r="BX707"/>
      <c r="BY707"/>
      <c r="BZ707"/>
    </row>
    <row r="708" spans="4:78" x14ac:dyDescent="0.25">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c r="AN708"/>
      <c r="AO708"/>
      <c r="AP708"/>
      <c r="AQ708"/>
      <c r="AR708"/>
      <c r="AS708"/>
      <c r="AT708"/>
      <c r="AU708"/>
      <c r="AV708"/>
      <c r="AW708"/>
      <c r="AX708"/>
      <c r="AY708"/>
      <c r="AZ708"/>
      <c r="BA708"/>
      <c r="BB708"/>
      <c r="BC708"/>
      <c r="BD708"/>
      <c r="BE708"/>
      <c r="BF708"/>
      <c r="BG708"/>
      <c r="BH708"/>
      <c r="BI708"/>
      <c r="BJ708"/>
      <c r="BK708"/>
      <c r="BL708"/>
      <c r="BM708"/>
      <c r="BN708"/>
      <c r="BO708"/>
      <c r="BP708"/>
      <c r="BQ708"/>
      <c r="BR708"/>
      <c r="BS708"/>
      <c r="BT708"/>
      <c r="BU708"/>
      <c r="BV708"/>
      <c r="BW708"/>
      <c r="BX708"/>
      <c r="BY708"/>
      <c r="BZ708"/>
    </row>
    <row r="709" spans="4:78" x14ac:dyDescent="0.25">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c r="AL709"/>
      <c r="AM709"/>
      <c r="AN709"/>
      <c r="AO709"/>
      <c r="AP709"/>
      <c r="AQ709"/>
      <c r="AR709"/>
      <c r="AS709"/>
      <c r="AT709"/>
      <c r="AU709"/>
      <c r="AV709"/>
      <c r="AW709"/>
      <c r="AX709"/>
      <c r="AY709"/>
      <c r="AZ709"/>
      <c r="BA709"/>
      <c r="BB709"/>
      <c r="BC709"/>
      <c r="BD709"/>
      <c r="BE709"/>
      <c r="BF709"/>
      <c r="BG709"/>
      <c r="BH709"/>
      <c r="BI709"/>
      <c r="BJ709"/>
      <c r="BK709"/>
      <c r="BL709"/>
      <c r="BM709"/>
      <c r="BN709"/>
      <c r="BO709"/>
      <c r="BP709"/>
      <c r="BQ709"/>
      <c r="BR709"/>
      <c r="BS709"/>
      <c r="BT709"/>
      <c r="BU709"/>
      <c r="BV709"/>
      <c r="BW709"/>
      <c r="BX709"/>
      <c r="BY709"/>
      <c r="BZ709"/>
    </row>
    <row r="710" spans="4:78" x14ac:dyDescent="0.25">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c r="AL710"/>
      <c r="AM710"/>
      <c r="AN710"/>
      <c r="AO710"/>
      <c r="AP710"/>
      <c r="AQ710"/>
      <c r="AR710"/>
      <c r="AS710"/>
      <c r="AT710"/>
      <c r="AU710"/>
      <c r="AV710"/>
      <c r="AW710"/>
      <c r="AX710"/>
      <c r="AY710"/>
      <c r="AZ710"/>
      <c r="BA710"/>
      <c r="BB710"/>
      <c r="BC710"/>
      <c r="BD710"/>
      <c r="BE710"/>
      <c r="BF710"/>
      <c r="BG710"/>
      <c r="BH710"/>
      <c r="BI710"/>
      <c r="BJ710"/>
      <c r="BK710"/>
      <c r="BL710"/>
      <c r="BM710"/>
      <c r="BN710"/>
      <c r="BO710"/>
      <c r="BP710"/>
      <c r="BQ710"/>
      <c r="BR710"/>
      <c r="BS710"/>
      <c r="BT710"/>
      <c r="BU710"/>
      <c r="BV710"/>
      <c r="BW710"/>
      <c r="BX710"/>
      <c r="BY710"/>
      <c r="BZ710"/>
    </row>
    <row r="711" spans="4:78" x14ac:dyDescent="0.25">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c r="AL711"/>
      <c r="AM711"/>
      <c r="AN711"/>
      <c r="AO711"/>
      <c r="AP711"/>
      <c r="AQ711"/>
      <c r="AR711"/>
      <c r="AS711"/>
      <c r="AT711"/>
      <c r="AU711"/>
      <c r="AV711"/>
      <c r="AW711"/>
      <c r="AX711"/>
      <c r="AY711"/>
      <c r="AZ711"/>
      <c r="BA711"/>
      <c r="BB711"/>
      <c r="BC711"/>
      <c r="BD711"/>
      <c r="BE711"/>
      <c r="BF711"/>
      <c r="BG711"/>
      <c r="BH711"/>
      <c r="BI711"/>
      <c r="BJ711"/>
      <c r="BK711"/>
      <c r="BL711"/>
      <c r="BM711"/>
      <c r="BN711"/>
      <c r="BO711"/>
      <c r="BP711"/>
      <c r="BQ711"/>
      <c r="BR711"/>
      <c r="BS711"/>
      <c r="BT711"/>
      <c r="BU711"/>
      <c r="BV711"/>
      <c r="BW711"/>
      <c r="BX711"/>
      <c r="BY711"/>
      <c r="BZ711"/>
    </row>
    <row r="712" spans="4:78" x14ac:dyDescent="0.25">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c r="AL712"/>
      <c r="AM712"/>
      <c r="AN712"/>
      <c r="AO712"/>
      <c r="AP712"/>
      <c r="AQ712"/>
      <c r="AR712"/>
      <c r="AS712"/>
      <c r="AT712"/>
      <c r="AU712"/>
      <c r="AV712"/>
      <c r="AW712"/>
      <c r="AX712"/>
      <c r="AY712"/>
      <c r="AZ712"/>
      <c r="BA712"/>
      <c r="BB712"/>
      <c r="BC712"/>
      <c r="BD712"/>
      <c r="BE712"/>
      <c r="BF712"/>
      <c r="BG712"/>
      <c r="BH712"/>
      <c r="BI712"/>
      <c r="BJ712"/>
      <c r="BK712"/>
      <c r="BL712"/>
      <c r="BM712"/>
      <c r="BN712"/>
      <c r="BO712"/>
      <c r="BP712"/>
      <c r="BQ712"/>
      <c r="BR712"/>
      <c r="BS712"/>
      <c r="BT712"/>
      <c r="BU712"/>
      <c r="BV712"/>
      <c r="BW712"/>
      <c r="BX712"/>
      <c r="BY712"/>
      <c r="BZ712"/>
    </row>
    <row r="713" spans="4:78" x14ac:dyDescent="0.25">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c r="AL713"/>
      <c r="AM713"/>
      <c r="AN713"/>
      <c r="AO713"/>
      <c r="AP713"/>
      <c r="AQ713"/>
      <c r="AR713"/>
      <c r="AS713"/>
      <c r="AT713"/>
      <c r="AU713"/>
      <c r="AV713"/>
      <c r="AW713"/>
      <c r="AX713"/>
      <c r="AY713"/>
      <c r="AZ713"/>
      <c r="BA713"/>
      <c r="BB713"/>
      <c r="BC713"/>
      <c r="BD713"/>
      <c r="BE713"/>
      <c r="BF713"/>
      <c r="BG713"/>
      <c r="BH713"/>
      <c r="BI713"/>
      <c r="BJ713"/>
      <c r="BK713"/>
      <c r="BL713"/>
      <c r="BM713"/>
      <c r="BN713"/>
      <c r="BO713"/>
      <c r="BP713"/>
      <c r="BQ713"/>
      <c r="BR713"/>
      <c r="BS713"/>
      <c r="BT713"/>
      <c r="BU713"/>
      <c r="BV713"/>
      <c r="BW713"/>
      <c r="BX713"/>
      <c r="BY713"/>
      <c r="BZ713"/>
    </row>
    <row r="714" spans="4:78" x14ac:dyDescent="0.25">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c r="AL714"/>
      <c r="AM714"/>
      <c r="AN714"/>
      <c r="AO714"/>
      <c r="AP714"/>
      <c r="AQ714"/>
      <c r="AR714"/>
      <c r="AS714"/>
      <c r="AT714"/>
      <c r="AU714"/>
      <c r="AV714"/>
      <c r="AW714"/>
      <c r="AX714"/>
      <c r="AY714"/>
      <c r="AZ714"/>
      <c r="BA714"/>
      <c r="BB714"/>
      <c r="BC714"/>
      <c r="BD714"/>
      <c r="BE714"/>
      <c r="BF714"/>
      <c r="BG714"/>
      <c r="BH714"/>
      <c r="BI714"/>
      <c r="BJ714"/>
      <c r="BK714"/>
      <c r="BL714"/>
      <c r="BM714"/>
      <c r="BN714"/>
      <c r="BO714"/>
      <c r="BP714"/>
      <c r="BQ714"/>
      <c r="BR714"/>
      <c r="BS714"/>
      <c r="BT714"/>
      <c r="BU714"/>
      <c r="BV714"/>
      <c r="BW714"/>
      <c r="BX714"/>
      <c r="BY714"/>
      <c r="BZ714"/>
    </row>
    <row r="715" spans="4:78" x14ac:dyDescent="0.2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c r="AL715"/>
      <c r="AM715"/>
      <c r="AN715"/>
      <c r="AO715"/>
      <c r="AP715"/>
      <c r="AQ715"/>
      <c r="AR715"/>
      <c r="AS715"/>
      <c r="AT715"/>
      <c r="AU715"/>
      <c r="AV715"/>
      <c r="AW715"/>
      <c r="AX715"/>
      <c r="AY715"/>
      <c r="AZ715"/>
      <c r="BA715"/>
      <c r="BB715"/>
      <c r="BC715"/>
      <c r="BD715"/>
      <c r="BE715"/>
      <c r="BF715"/>
      <c r="BG715"/>
      <c r="BH715"/>
      <c r="BI715"/>
      <c r="BJ715"/>
      <c r="BK715"/>
      <c r="BL715"/>
      <c r="BM715"/>
      <c r="BN715"/>
      <c r="BO715"/>
      <c r="BP715"/>
      <c r="BQ715"/>
      <c r="BR715"/>
      <c r="BS715"/>
      <c r="BT715"/>
      <c r="BU715"/>
      <c r="BV715"/>
      <c r="BW715"/>
      <c r="BX715"/>
      <c r="BY715"/>
      <c r="BZ715"/>
    </row>
    <row r="716" spans="4:78" x14ac:dyDescent="0.25">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c r="AL716"/>
      <c r="AM716"/>
      <c r="AN716"/>
      <c r="AO716"/>
      <c r="AP716"/>
      <c r="AQ716"/>
      <c r="AR716"/>
      <c r="AS716"/>
      <c r="AT716"/>
      <c r="AU716"/>
      <c r="AV716"/>
      <c r="AW716"/>
      <c r="AX716"/>
      <c r="AY716"/>
      <c r="AZ716"/>
      <c r="BA716"/>
      <c r="BB716"/>
      <c r="BC716"/>
      <c r="BD716"/>
      <c r="BE716"/>
      <c r="BF716"/>
      <c r="BG716"/>
      <c r="BH716"/>
      <c r="BI716"/>
      <c r="BJ716"/>
      <c r="BK716"/>
      <c r="BL716"/>
      <c r="BM716"/>
      <c r="BN716"/>
      <c r="BO716"/>
      <c r="BP716"/>
      <c r="BQ716"/>
      <c r="BR716"/>
      <c r="BS716"/>
      <c r="BT716"/>
      <c r="BU716"/>
      <c r="BV716"/>
      <c r="BW716"/>
      <c r="BX716"/>
      <c r="BY716"/>
      <c r="BZ716"/>
    </row>
    <row r="717" spans="4:78" x14ac:dyDescent="0.25">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c r="AL717"/>
      <c r="AM717"/>
      <c r="AN717"/>
      <c r="AO717"/>
      <c r="AP717"/>
      <c r="AQ717"/>
      <c r="AR717"/>
      <c r="AS717"/>
      <c r="AT717"/>
      <c r="AU717"/>
      <c r="AV717"/>
      <c r="AW717"/>
      <c r="AX717"/>
      <c r="AY717"/>
      <c r="AZ717"/>
      <c r="BA717"/>
      <c r="BB717"/>
      <c r="BC717"/>
      <c r="BD717"/>
      <c r="BE717"/>
      <c r="BF717"/>
      <c r="BG717"/>
      <c r="BH717"/>
      <c r="BI717"/>
      <c r="BJ717"/>
      <c r="BK717"/>
      <c r="BL717"/>
      <c r="BM717"/>
      <c r="BN717"/>
      <c r="BO717"/>
      <c r="BP717"/>
      <c r="BQ717"/>
      <c r="BR717"/>
      <c r="BS717"/>
      <c r="BT717"/>
      <c r="BU717"/>
      <c r="BV717"/>
      <c r="BW717"/>
      <c r="BX717"/>
      <c r="BY717"/>
      <c r="BZ717"/>
    </row>
    <row r="718" spans="4:78" x14ac:dyDescent="0.25">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c r="AL718"/>
      <c r="AM718"/>
      <c r="AN718"/>
      <c r="AO718"/>
      <c r="AP718"/>
      <c r="AQ718"/>
      <c r="AR718"/>
      <c r="AS718"/>
      <c r="AT718"/>
      <c r="AU718"/>
      <c r="AV718"/>
      <c r="AW718"/>
      <c r="AX718"/>
      <c r="AY718"/>
      <c r="AZ718"/>
      <c r="BA718"/>
      <c r="BB718"/>
      <c r="BC718"/>
      <c r="BD718"/>
      <c r="BE718"/>
      <c r="BF718"/>
      <c r="BG718"/>
      <c r="BH718"/>
      <c r="BI718"/>
      <c r="BJ718"/>
      <c r="BK718"/>
      <c r="BL718"/>
      <c r="BM718"/>
      <c r="BN718"/>
      <c r="BO718"/>
      <c r="BP718"/>
      <c r="BQ718"/>
      <c r="BR718"/>
      <c r="BS718"/>
      <c r="BT718"/>
      <c r="BU718"/>
      <c r="BV718"/>
      <c r="BW718"/>
      <c r="BX718"/>
      <c r="BY718"/>
      <c r="BZ718"/>
    </row>
    <row r="719" spans="4:78" x14ac:dyDescent="0.25">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c r="AL719"/>
      <c r="AM719"/>
      <c r="AN719"/>
      <c r="AO719"/>
      <c r="AP719"/>
      <c r="AQ719"/>
      <c r="AR719"/>
      <c r="AS719"/>
      <c r="AT719"/>
      <c r="AU719"/>
      <c r="AV719"/>
      <c r="AW719"/>
      <c r="AX719"/>
      <c r="AY719"/>
      <c r="AZ719"/>
      <c r="BA719"/>
      <c r="BB719"/>
      <c r="BC719"/>
      <c r="BD719"/>
      <c r="BE719"/>
      <c r="BF719"/>
      <c r="BG719"/>
      <c r="BH719"/>
      <c r="BI719"/>
      <c r="BJ719"/>
      <c r="BK719"/>
      <c r="BL719"/>
      <c r="BM719"/>
      <c r="BN719"/>
      <c r="BO719"/>
      <c r="BP719"/>
      <c r="BQ719"/>
      <c r="BR719"/>
      <c r="BS719"/>
      <c r="BT719"/>
      <c r="BU719"/>
      <c r="BV719"/>
      <c r="BW719"/>
      <c r="BX719"/>
      <c r="BY719"/>
      <c r="BZ719"/>
    </row>
    <row r="720" spans="4:78" x14ac:dyDescent="0.25">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c r="AL720"/>
      <c r="AM720"/>
      <c r="AN720"/>
      <c r="AO720"/>
      <c r="AP720"/>
      <c r="AQ720"/>
      <c r="AR720"/>
      <c r="AS720"/>
      <c r="AT720"/>
      <c r="AU720"/>
      <c r="AV720"/>
      <c r="AW720"/>
      <c r="AX720"/>
      <c r="AY720"/>
      <c r="AZ720"/>
      <c r="BA720"/>
      <c r="BB720"/>
      <c r="BC720"/>
      <c r="BD720"/>
      <c r="BE720"/>
      <c r="BF720"/>
      <c r="BG720"/>
      <c r="BH720"/>
      <c r="BI720"/>
      <c r="BJ720"/>
      <c r="BK720"/>
      <c r="BL720"/>
      <c r="BM720"/>
      <c r="BN720"/>
      <c r="BO720"/>
      <c r="BP720"/>
      <c r="BQ720"/>
      <c r="BR720"/>
      <c r="BS720"/>
      <c r="BT720"/>
      <c r="BU720"/>
      <c r="BV720"/>
      <c r="BW720"/>
      <c r="BX720"/>
      <c r="BY720"/>
      <c r="BZ720"/>
    </row>
    <row r="721" spans="4:78" x14ac:dyDescent="0.25">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c r="AL721"/>
      <c r="AM721"/>
      <c r="AN721"/>
      <c r="AO721"/>
      <c r="AP721"/>
      <c r="AQ721"/>
      <c r="AR721"/>
      <c r="AS721"/>
      <c r="AT721"/>
      <c r="AU721"/>
      <c r="AV721"/>
      <c r="AW721"/>
      <c r="AX721"/>
      <c r="AY721"/>
      <c r="AZ721"/>
      <c r="BA721"/>
      <c r="BB721"/>
      <c r="BC721"/>
      <c r="BD721"/>
      <c r="BE721"/>
      <c r="BF721"/>
      <c r="BG721"/>
      <c r="BH721"/>
      <c r="BI721"/>
      <c r="BJ721"/>
      <c r="BK721"/>
      <c r="BL721"/>
      <c r="BM721"/>
      <c r="BN721"/>
      <c r="BO721"/>
      <c r="BP721"/>
      <c r="BQ721"/>
      <c r="BR721"/>
      <c r="BS721"/>
      <c r="BT721"/>
      <c r="BU721"/>
      <c r="BV721"/>
      <c r="BW721"/>
      <c r="BX721"/>
      <c r="BY721"/>
      <c r="BZ721"/>
    </row>
    <row r="722" spans="4:78" x14ac:dyDescent="0.25">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c r="AL722"/>
      <c r="AM722"/>
      <c r="AN722"/>
      <c r="AO722"/>
      <c r="AP722"/>
      <c r="AQ722"/>
      <c r="AR722"/>
      <c r="AS722"/>
      <c r="AT722"/>
      <c r="AU722"/>
      <c r="AV722"/>
      <c r="AW722"/>
      <c r="AX722"/>
      <c r="AY722"/>
      <c r="AZ722"/>
      <c r="BA722"/>
      <c r="BB722"/>
      <c r="BC722"/>
      <c r="BD722"/>
      <c r="BE722"/>
      <c r="BF722"/>
      <c r="BG722"/>
      <c r="BH722"/>
      <c r="BI722"/>
      <c r="BJ722"/>
      <c r="BK722"/>
      <c r="BL722"/>
      <c r="BM722"/>
      <c r="BN722"/>
      <c r="BO722"/>
      <c r="BP722"/>
      <c r="BQ722"/>
      <c r="BR722"/>
      <c r="BS722"/>
      <c r="BT722"/>
      <c r="BU722"/>
      <c r="BV722"/>
      <c r="BW722"/>
      <c r="BX722"/>
      <c r="BY722"/>
      <c r="BZ722"/>
    </row>
    <row r="723" spans="4:78" x14ac:dyDescent="0.25">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c r="AL723"/>
      <c r="AM723"/>
      <c r="AN723"/>
      <c r="AO723"/>
      <c r="AP723"/>
      <c r="AQ723"/>
      <c r="AR723"/>
      <c r="AS723"/>
      <c r="AT723"/>
      <c r="AU723"/>
      <c r="AV723"/>
      <c r="AW723"/>
      <c r="AX723"/>
      <c r="AY723"/>
      <c r="AZ723"/>
      <c r="BA723"/>
      <c r="BB723"/>
      <c r="BC723"/>
      <c r="BD723"/>
      <c r="BE723"/>
      <c r="BF723"/>
      <c r="BG723"/>
      <c r="BH723"/>
      <c r="BI723"/>
      <c r="BJ723"/>
      <c r="BK723"/>
      <c r="BL723"/>
      <c r="BM723"/>
      <c r="BN723"/>
      <c r="BO723"/>
      <c r="BP723"/>
      <c r="BQ723"/>
      <c r="BR723"/>
      <c r="BS723"/>
      <c r="BT723"/>
      <c r="BU723"/>
      <c r="BV723"/>
      <c r="BW723"/>
      <c r="BX723"/>
      <c r="BY723"/>
      <c r="BZ723"/>
    </row>
    <row r="724" spans="4:78" x14ac:dyDescent="0.25">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c r="AL724"/>
      <c r="AM724"/>
      <c r="AN724"/>
      <c r="AO724"/>
      <c r="AP724"/>
      <c r="AQ724"/>
      <c r="AR724"/>
      <c r="AS724"/>
      <c r="AT724"/>
      <c r="AU724"/>
      <c r="AV724"/>
      <c r="AW724"/>
      <c r="AX724"/>
      <c r="AY724"/>
      <c r="AZ724"/>
      <c r="BA724"/>
      <c r="BB724"/>
      <c r="BC724"/>
      <c r="BD724"/>
      <c r="BE724"/>
      <c r="BF724"/>
      <c r="BG724"/>
      <c r="BH724"/>
      <c r="BI724"/>
      <c r="BJ724"/>
      <c r="BK724"/>
      <c r="BL724"/>
      <c r="BM724"/>
      <c r="BN724"/>
      <c r="BO724"/>
      <c r="BP724"/>
      <c r="BQ724"/>
      <c r="BR724"/>
      <c r="BS724"/>
      <c r="BT724"/>
      <c r="BU724"/>
      <c r="BV724"/>
      <c r="BW724"/>
      <c r="BX724"/>
      <c r="BY724"/>
      <c r="BZ724"/>
    </row>
    <row r="725" spans="4:78" x14ac:dyDescent="0.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c r="AL725"/>
      <c r="AM725"/>
      <c r="AN725"/>
      <c r="AO725"/>
      <c r="AP725"/>
      <c r="AQ725"/>
      <c r="AR725"/>
      <c r="AS725"/>
      <c r="AT725"/>
      <c r="AU725"/>
      <c r="AV725"/>
      <c r="AW725"/>
      <c r="AX725"/>
      <c r="AY725"/>
      <c r="AZ725"/>
      <c r="BA725"/>
      <c r="BB725"/>
      <c r="BC725"/>
      <c r="BD725"/>
      <c r="BE725"/>
      <c r="BF725"/>
      <c r="BG725"/>
      <c r="BH725"/>
      <c r="BI725"/>
      <c r="BJ725"/>
      <c r="BK725"/>
      <c r="BL725"/>
      <c r="BM725"/>
      <c r="BN725"/>
      <c r="BO725"/>
      <c r="BP725"/>
      <c r="BQ725"/>
      <c r="BR725"/>
      <c r="BS725"/>
      <c r="BT725"/>
      <c r="BU725"/>
      <c r="BV725"/>
      <c r="BW725"/>
      <c r="BX725"/>
      <c r="BY725"/>
      <c r="BZ725"/>
    </row>
    <row r="726" spans="4:78" x14ac:dyDescent="0.25">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c r="AL726"/>
      <c r="AM726"/>
      <c r="AN726"/>
      <c r="AO726"/>
      <c r="AP726"/>
      <c r="AQ726"/>
      <c r="AR726"/>
      <c r="AS726"/>
      <c r="AT726"/>
      <c r="AU726"/>
      <c r="AV726"/>
      <c r="AW726"/>
      <c r="AX726"/>
      <c r="AY726"/>
      <c r="AZ726"/>
      <c r="BA726"/>
      <c r="BB726"/>
      <c r="BC726"/>
      <c r="BD726"/>
      <c r="BE726"/>
      <c r="BF726"/>
      <c r="BG726"/>
      <c r="BH726"/>
      <c r="BI726"/>
      <c r="BJ726"/>
      <c r="BK726"/>
      <c r="BL726"/>
      <c r="BM726"/>
      <c r="BN726"/>
      <c r="BO726"/>
      <c r="BP726"/>
      <c r="BQ726"/>
      <c r="BR726"/>
      <c r="BS726"/>
      <c r="BT726"/>
      <c r="BU726"/>
      <c r="BV726"/>
      <c r="BW726"/>
      <c r="BX726"/>
      <c r="BY726"/>
      <c r="BZ726"/>
    </row>
    <row r="727" spans="4:78" x14ac:dyDescent="0.25">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c r="AL727"/>
      <c r="AM727"/>
      <c r="AN727"/>
      <c r="AO727"/>
      <c r="AP727"/>
      <c r="AQ727"/>
      <c r="AR727"/>
      <c r="AS727"/>
      <c r="AT727"/>
      <c r="AU727"/>
      <c r="AV727"/>
      <c r="AW727"/>
      <c r="AX727"/>
      <c r="AY727"/>
      <c r="AZ727"/>
      <c r="BA727"/>
      <c r="BB727"/>
      <c r="BC727"/>
      <c r="BD727"/>
      <c r="BE727"/>
      <c r="BF727"/>
      <c r="BG727"/>
      <c r="BH727"/>
      <c r="BI727"/>
      <c r="BJ727"/>
      <c r="BK727"/>
      <c r="BL727"/>
      <c r="BM727"/>
      <c r="BN727"/>
      <c r="BO727"/>
      <c r="BP727"/>
      <c r="BQ727"/>
      <c r="BR727"/>
      <c r="BS727"/>
      <c r="BT727"/>
      <c r="BU727"/>
      <c r="BV727"/>
      <c r="BW727"/>
      <c r="BX727"/>
      <c r="BY727"/>
      <c r="BZ727"/>
    </row>
    <row r="728" spans="4:78" x14ac:dyDescent="0.25">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c r="AL728"/>
      <c r="AM728"/>
      <c r="AN728"/>
      <c r="AO728"/>
      <c r="AP728"/>
      <c r="AQ728"/>
      <c r="AR728"/>
      <c r="AS728"/>
      <c r="AT728"/>
      <c r="AU728"/>
      <c r="AV728"/>
      <c r="AW728"/>
      <c r="AX728"/>
      <c r="AY728"/>
      <c r="AZ728"/>
      <c r="BA728"/>
      <c r="BB728"/>
      <c r="BC728"/>
      <c r="BD728"/>
      <c r="BE728"/>
      <c r="BF728"/>
      <c r="BG728"/>
      <c r="BH728"/>
      <c r="BI728"/>
      <c r="BJ728"/>
      <c r="BK728"/>
      <c r="BL728"/>
      <c r="BM728"/>
      <c r="BN728"/>
      <c r="BO728"/>
      <c r="BP728"/>
      <c r="BQ728"/>
      <c r="BR728"/>
      <c r="BS728"/>
      <c r="BT728"/>
      <c r="BU728"/>
      <c r="BV728"/>
      <c r="BW728"/>
      <c r="BX728"/>
      <c r="BY728"/>
      <c r="BZ728"/>
    </row>
    <row r="729" spans="4:78" x14ac:dyDescent="0.25">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c r="AL729"/>
      <c r="AM729"/>
      <c r="AN729"/>
      <c r="AO729"/>
      <c r="AP729"/>
      <c r="AQ729"/>
      <c r="AR729"/>
      <c r="AS729"/>
      <c r="AT729"/>
      <c r="AU729"/>
      <c r="AV729"/>
      <c r="AW729"/>
      <c r="AX729"/>
      <c r="AY729"/>
      <c r="AZ729"/>
      <c r="BA729"/>
      <c r="BB729"/>
      <c r="BC729"/>
      <c r="BD729"/>
      <c r="BE729"/>
      <c r="BF729"/>
      <c r="BG729"/>
      <c r="BH729"/>
      <c r="BI729"/>
      <c r="BJ729"/>
      <c r="BK729"/>
      <c r="BL729"/>
      <c r="BM729"/>
      <c r="BN729"/>
      <c r="BO729"/>
      <c r="BP729"/>
      <c r="BQ729"/>
      <c r="BR729"/>
      <c r="BS729"/>
      <c r="BT729"/>
      <c r="BU729"/>
      <c r="BV729"/>
      <c r="BW729"/>
      <c r="BX729"/>
      <c r="BY729"/>
      <c r="BZ729"/>
    </row>
    <row r="730" spans="4:78" x14ac:dyDescent="0.25">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c r="AL730"/>
      <c r="AM730"/>
      <c r="AN730"/>
      <c r="AO730"/>
      <c r="AP730"/>
      <c r="AQ730"/>
      <c r="AR730"/>
      <c r="AS730"/>
      <c r="AT730"/>
      <c r="AU730"/>
      <c r="AV730"/>
      <c r="AW730"/>
      <c r="AX730"/>
      <c r="AY730"/>
      <c r="AZ730"/>
      <c r="BA730"/>
      <c r="BB730"/>
      <c r="BC730"/>
      <c r="BD730"/>
      <c r="BE730"/>
      <c r="BF730"/>
      <c r="BG730"/>
      <c r="BH730"/>
      <c r="BI730"/>
      <c r="BJ730"/>
      <c r="BK730"/>
      <c r="BL730"/>
      <c r="BM730"/>
      <c r="BN730"/>
      <c r="BO730"/>
      <c r="BP730"/>
      <c r="BQ730"/>
      <c r="BR730"/>
      <c r="BS730"/>
      <c r="BT730"/>
      <c r="BU730"/>
      <c r="BV730"/>
      <c r="BW730"/>
      <c r="BX730"/>
      <c r="BY730"/>
      <c r="BZ730"/>
    </row>
    <row r="731" spans="4:78" x14ac:dyDescent="0.25">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c r="AL731"/>
      <c r="AM731"/>
      <c r="AN731"/>
      <c r="AO731"/>
      <c r="AP731"/>
      <c r="AQ731"/>
      <c r="AR731"/>
      <c r="AS731"/>
      <c r="AT731"/>
      <c r="AU731"/>
      <c r="AV731"/>
      <c r="AW731"/>
      <c r="AX731"/>
      <c r="AY731"/>
      <c r="AZ731"/>
      <c r="BA731"/>
      <c r="BB731"/>
      <c r="BC731"/>
      <c r="BD731"/>
      <c r="BE731"/>
      <c r="BF731"/>
      <c r="BG731"/>
      <c r="BH731"/>
      <c r="BI731"/>
      <c r="BJ731"/>
      <c r="BK731"/>
      <c r="BL731"/>
      <c r="BM731"/>
      <c r="BN731"/>
      <c r="BO731"/>
      <c r="BP731"/>
      <c r="BQ731"/>
      <c r="BR731"/>
      <c r="BS731"/>
      <c r="BT731"/>
      <c r="BU731"/>
      <c r="BV731"/>
      <c r="BW731"/>
      <c r="BX731"/>
      <c r="BY731"/>
      <c r="BZ731"/>
    </row>
    <row r="732" spans="4:78" x14ac:dyDescent="0.25">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c r="AL732"/>
      <c r="AM732"/>
      <c r="AN732"/>
      <c r="AO732"/>
      <c r="AP732"/>
      <c r="AQ732"/>
      <c r="AR732"/>
      <c r="AS732"/>
      <c r="AT732"/>
      <c r="AU732"/>
      <c r="AV732"/>
      <c r="AW732"/>
      <c r="AX732"/>
      <c r="AY732"/>
      <c r="AZ732"/>
      <c r="BA732"/>
      <c r="BB732"/>
      <c r="BC732"/>
      <c r="BD732"/>
      <c r="BE732"/>
      <c r="BF732"/>
      <c r="BG732"/>
      <c r="BH732"/>
      <c r="BI732"/>
      <c r="BJ732"/>
      <c r="BK732"/>
      <c r="BL732"/>
      <c r="BM732"/>
      <c r="BN732"/>
      <c r="BO732"/>
      <c r="BP732"/>
      <c r="BQ732"/>
      <c r="BR732"/>
      <c r="BS732"/>
      <c r="BT732"/>
      <c r="BU732"/>
      <c r="BV732"/>
      <c r="BW732"/>
      <c r="BX732"/>
      <c r="BY732"/>
      <c r="BZ732"/>
    </row>
    <row r="733" spans="4:78" x14ac:dyDescent="0.25">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c r="AL733"/>
      <c r="AM733"/>
      <c r="AN733"/>
      <c r="AO733"/>
      <c r="AP733"/>
      <c r="AQ733"/>
      <c r="AR733"/>
      <c r="AS733"/>
      <c r="AT733"/>
      <c r="AU733"/>
      <c r="AV733"/>
      <c r="AW733"/>
      <c r="AX733"/>
      <c r="AY733"/>
      <c r="AZ733"/>
      <c r="BA733"/>
      <c r="BB733"/>
      <c r="BC733"/>
      <c r="BD733"/>
      <c r="BE733"/>
      <c r="BF733"/>
      <c r="BG733"/>
      <c r="BH733"/>
      <c r="BI733"/>
      <c r="BJ733"/>
      <c r="BK733"/>
      <c r="BL733"/>
      <c r="BM733"/>
      <c r="BN733"/>
      <c r="BO733"/>
      <c r="BP733"/>
      <c r="BQ733"/>
      <c r="BR733"/>
      <c r="BS733"/>
      <c r="BT733"/>
      <c r="BU733"/>
      <c r="BV733"/>
      <c r="BW733"/>
      <c r="BX733"/>
      <c r="BY733"/>
      <c r="BZ733"/>
    </row>
    <row r="734" spans="4:78" x14ac:dyDescent="0.25">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c r="AL734"/>
      <c r="AM734"/>
      <c r="AN734"/>
      <c r="AO734"/>
      <c r="AP734"/>
      <c r="AQ734"/>
      <c r="AR734"/>
      <c r="AS734"/>
      <c r="AT734"/>
      <c r="AU734"/>
      <c r="AV734"/>
      <c r="AW734"/>
      <c r="AX734"/>
      <c r="AY734"/>
      <c r="AZ734"/>
      <c r="BA734"/>
      <c r="BB734"/>
      <c r="BC734"/>
      <c r="BD734"/>
      <c r="BE734"/>
      <c r="BF734"/>
      <c r="BG734"/>
      <c r="BH734"/>
      <c r="BI734"/>
      <c r="BJ734"/>
      <c r="BK734"/>
      <c r="BL734"/>
      <c r="BM734"/>
      <c r="BN734"/>
      <c r="BO734"/>
      <c r="BP734"/>
      <c r="BQ734"/>
      <c r="BR734"/>
      <c r="BS734"/>
      <c r="BT734"/>
      <c r="BU734"/>
      <c r="BV734"/>
      <c r="BW734"/>
      <c r="BX734"/>
      <c r="BY734"/>
      <c r="BZ734"/>
    </row>
    <row r="735" spans="4:78" x14ac:dyDescent="0.2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c r="AL735"/>
      <c r="AM735"/>
      <c r="AN735"/>
      <c r="AO735"/>
      <c r="AP735"/>
      <c r="AQ735"/>
      <c r="AR735"/>
      <c r="AS735"/>
      <c r="AT735"/>
      <c r="AU735"/>
      <c r="AV735"/>
      <c r="AW735"/>
      <c r="AX735"/>
      <c r="AY735"/>
      <c r="AZ735"/>
      <c r="BA735"/>
      <c r="BB735"/>
      <c r="BC735"/>
      <c r="BD735"/>
      <c r="BE735"/>
      <c r="BF735"/>
      <c r="BG735"/>
      <c r="BH735"/>
      <c r="BI735"/>
      <c r="BJ735"/>
      <c r="BK735"/>
      <c r="BL735"/>
      <c r="BM735"/>
      <c r="BN735"/>
      <c r="BO735"/>
      <c r="BP735"/>
      <c r="BQ735"/>
      <c r="BR735"/>
      <c r="BS735"/>
      <c r="BT735"/>
      <c r="BU735"/>
      <c r="BV735"/>
      <c r="BW735"/>
      <c r="BX735"/>
      <c r="BY735"/>
      <c r="BZ735"/>
    </row>
    <row r="736" spans="4:78" x14ac:dyDescent="0.25">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c r="AL736"/>
      <c r="AM736"/>
      <c r="AN736"/>
      <c r="AO736"/>
      <c r="AP736"/>
      <c r="AQ736"/>
      <c r="AR736"/>
      <c r="AS736"/>
      <c r="AT736"/>
      <c r="AU736"/>
      <c r="AV736"/>
      <c r="AW736"/>
      <c r="AX736"/>
      <c r="AY736"/>
      <c r="AZ736"/>
      <c r="BA736"/>
      <c r="BB736"/>
      <c r="BC736"/>
      <c r="BD736"/>
      <c r="BE736"/>
      <c r="BF736"/>
      <c r="BG736"/>
      <c r="BH736"/>
      <c r="BI736"/>
      <c r="BJ736"/>
      <c r="BK736"/>
      <c r="BL736"/>
      <c r="BM736"/>
      <c r="BN736"/>
      <c r="BO736"/>
      <c r="BP736"/>
      <c r="BQ736"/>
      <c r="BR736"/>
      <c r="BS736"/>
      <c r="BT736"/>
      <c r="BU736"/>
      <c r="BV736"/>
      <c r="BW736"/>
      <c r="BX736"/>
      <c r="BY736"/>
      <c r="BZ736"/>
    </row>
    <row r="737" spans="4:78" x14ac:dyDescent="0.25">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c r="AL737"/>
      <c r="AM737"/>
      <c r="AN737"/>
      <c r="AO737"/>
      <c r="AP737"/>
      <c r="AQ737"/>
      <c r="AR737"/>
      <c r="AS737"/>
      <c r="AT737"/>
      <c r="AU737"/>
      <c r="AV737"/>
      <c r="AW737"/>
      <c r="AX737"/>
      <c r="AY737"/>
      <c r="AZ737"/>
      <c r="BA737"/>
      <c r="BB737"/>
      <c r="BC737"/>
      <c r="BD737"/>
      <c r="BE737"/>
      <c r="BF737"/>
      <c r="BG737"/>
      <c r="BH737"/>
      <c r="BI737"/>
      <c r="BJ737"/>
      <c r="BK737"/>
      <c r="BL737"/>
      <c r="BM737"/>
      <c r="BN737"/>
      <c r="BO737"/>
      <c r="BP737"/>
      <c r="BQ737"/>
      <c r="BR737"/>
      <c r="BS737"/>
      <c r="BT737"/>
      <c r="BU737"/>
      <c r="BV737"/>
      <c r="BW737"/>
      <c r="BX737"/>
      <c r="BY737"/>
      <c r="BZ737"/>
    </row>
    <row r="738" spans="4:78" x14ac:dyDescent="0.25">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c r="AL738"/>
      <c r="AM738"/>
      <c r="AN738"/>
      <c r="AO738"/>
      <c r="AP738"/>
      <c r="AQ738"/>
      <c r="AR738"/>
      <c r="AS738"/>
      <c r="AT738"/>
      <c r="AU738"/>
      <c r="AV738"/>
      <c r="AW738"/>
      <c r="AX738"/>
      <c r="AY738"/>
      <c r="AZ738"/>
      <c r="BA738"/>
      <c r="BB738"/>
      <c r="BC738"/>
      <c r="BD738"/>
      <c r="BE738"/>
      <c r="BF738"/>
      <c r="BG738"/>
      <c r="BH738"/>
      <c r="BI738"/>
      <c r="BJ738"/>
      <c r="BK738"/>
      <c r="BL738"/>
      <c r="BM738"/>
      <c r="BN738"/>
      <c r="BO738"/>
      <c r="BP738"/>
      <c r="BQ738"/>
      <c r="BR738"/>
      <c r="BS738"/>
      <c r="BT738"/>
      <c r="BU738"/>
      <c r="BV738"/>
      <c r="BW738"/>
      <c r="BX738"/>
      <c r="BY738"/>
      <c r="BZ738"/>
    </row>
    <row r="739" spans="4:78" x14ac:dyDescent="0.25">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c r="AL739"/>
      <c r="AM739"/>
      <c r="AN739"/>
      <c r="AO739"/>
      <c r="AP739"/>
      <c r="AQ739"/>
      <c r="AR739"/>
      <c r="AS739"/>
      <c r="AT739"/>
      <c r="AU739"/>
      <c r="AV739"/>
      <c r="AW739"/>
      <c r="AX739"/>
      <c r="AY739"/>
      <c r="AZ739"/>
      <c r="BA739"/>
      <c r="BB739"/>
      <c r="BC739"/>
      <c r="BD739"/>
      <c r="BE739"/>
      <c r="BF739"/>
      <c r="BG739"/>
      <c r="BH739"/>
      <c r="BI739"/>
      <c r="BJ739"/>
      <c r="BK739"/>
      <c r="BL739"/>
      <c r="BM739"/>
      <c r="BN739"/>
      <c r="BO739"/>
      <c r="BP739"/>
      <c r="BQ739"/>
      <c r="BR739"/>
      <c r="BS739"/>
      <c r="BT739"/>
      <c r="BU739"/>
      <c r="BV739"/>
      <c r="BW739"/>
      <c r="BX739"/>
      <c r="BY739"/>
      <c r="BZ739"/>
    </row>
    <row r="740" spans="4:78" x14ac:dyDescent="0.25">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c r="AL740"/>
      <c r="AM740"/>
      <c r="AN740"/>
      <c r="AO740"/>
      <c r="AP740"/>
      <c r="AQ740"/>
      <c r="AR740"/>
      <c r="AS740"/>
      <c r="AT740"/>
      <c r="AU740"/>
      <c r="AV740"/>
      <c r="AW740"/>
      <c r="AX740"/>
      <c r="AY740"/>
      <c r="AZ740"/>
      <c r="BA740"/>
      <c r="BB740"/>
      <c r="BC740"/>
      <c r="BD740"/>
      <c r="BE740"/>
      <c r="BF740"/>
      <c r="BG740"/>
      <c r="BH740"/>
      <c r="BI740"/>
      <c r="BJ740"/>
      <c r="BK740"/>
      <c r="BL740"/>
      <c r="BM740"/>
      <c r="BN740"/>
      <c r="BO740"/>
      <c r="BP740"/>
      <c r="BQ740"/>
      <c r="BR740"/>
      <c r="BS740"/>
      <c r="BT740"/>
      <c r="BU740"/>
      <c r="BV740"/>
      <c r="BW740"/>
      <c r="BX740"/>
      <c r="BY740"/>
      <c r="BZ740"/>
    </row>
    <row r="741" spans="4:78" x14ac:dyDescent="0.25">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c r="AL741"/>
      <c r="AM741"/>
      <c r="AN741"/>
      <c r="AO741"/>
      <c r="AP741"/>
      <c r="AQ741"/>
      <c r="AR741"/>
      <c r="AS741"/>
      <c r="AT741"/>
      <c r="AU741"/>
      <c r="AV741"/>
      <c r="AW741"/>
      <c r="AX741"/>
      <c r="AY741"/>
      <c r="AZ741"/>
      <c r="BA741"/>
      <c r="BB741"/>
      <c r="BC741"/>
      <c r="BD741"/>
      <c r="BE741"/>
      <c r="BF741"/>
      <c r="BG741"/>
      <c r="BH741"/>
      <c r="BI741"/>
      <c r="BJ741"/>
      <c r="BK741"/>
      <c r="BL741"/>
      <c r="BM741"/>
      <c r="BN741"/>
      <c r="BO741"/>
      <c r="BP741"/>
      <c r="BQ741"/>
      <c r="BR741"/>
      <c r="BS741"/>
      <c r="BT741"/>
      <c r="BU741"/>
      <c r="BV741"/>
      <c r="BW741"/>
      <c r="BX741"/>
      <c r="BY741"/>
      <c r="BZ741"/>
    </row>
    <row r="742" spans="4:78" x14ac:dyDescent="0.25">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c r="AL742"/>
      <c r="AM742"/>
      <c r="AN742"/>
      <c r="AO742"/>
      <c r="AP742"/>
      <c r="AQ742"/>
      <c r="AR742"/>
      <c r="AS742"/>
      <c r="AT742"/>
      <c r="AU742"/>
      <c r="AV742"/>
      <c r="AW742"/>
      <c r="AX742"/>
      <c r="AY742"/>
      <c r="AZ742"/>
      <c r="BA742"/>
      <c r="BB742"/>
      <c r="BC742"/>
      <c r="BD742"/>
      <c r="BE742"/>
      <c r="BF742"/>
      <c r="BG742"/>
      <c r="BH742"/>
      <c r="BI742"/>
      <c r="BJ742"/>
      <c r="BK742"/>
      <c r="BL742"/>
      <c r="BM742"/>
      <c r="BN742"/>
      <c r="BO742"/>
      <c r="BP742"/>
      <c r="BQ742"/>
      <c r="BR742"/>
      <c r="BS742"/>
      <c r="BT742"/>
      <c r="BU742"/>
      <c r="BV742"/>
      <c r="BW742"/>
      <c r="BX742"/>
      <c r="BY742"/>
      <c r="BZ742"/>
    </row>
    <row r="743" spans="4:78" x14ac:dyDescent="0.25">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c r="AL743"/>
      <c r="AM743"/>
      <c r="AN743"/>
      <c r="AO743"/>
      <c r="AP743"/>
      <c r="AQ743"/>
      <c r="AR743"/>
      <c r="AS743"/>
      <c r="AT743"/>
      <c r="AU743"/>
      <c r="AV743"/>
      <c r="AW743"/>
      <c r="AX743"/>
      <c r="AY743"/>
      <c r="AZ743"/>
      <c r="BA743"/>
      <c r="BB743"/>
      <c r="BC743"/>
      <c r="BD743"/>
      <c r="BE743"/>
      <c r="BF743"/>
      <c r="BG743"/>
      <c r="BH743"/>
      <c r="BI743"/>
      <c r="BJ743"/>
      <c r="BK743"/>
      <c r="BL743"/>
      <c r="BM743"/>
      <c r="BN743"/>
      <c r="BO743"/>
      <c r="BP743"/>
      <c r="BQ743"/>
      <c r="BR743"/>
      <c r="BS743"/>
      <c r="BT743"/>
      <c r="BU743"/>
      <c r="BV743"/>
      <c r="BW743"/>
      <c r="BX743"/>
      <c r="BY743"/>
      <c r="BZ743"/>
    </row>
    <row r="744" spans="4:78" x14ac:dyDescent="0.25">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c r="AL744"/>
      <c r="AM744"/>
      <c r="AN744"/>
      <c r="AO744"/>
      <c r="AP744"/>
      <c r="AQ744"/>
      <c r="AR744"/>
      <c r="AS744"/>
      <c r="AT744"/>
      <c r="AU744"/>
      <c r="AV744"/>
      <c r="AW744"/>
      <c r="AX744"/>
      <c r="AY744"/>
      <c r="AZ744"/>
      <c r="BA744"/>
      <c r="BB744"/>
      <c r="BC744"/>
      <c r="BD744"/>
      <c r="BE744"/>
      <c r="BF744"/>
      <c r="BG744"/>
      <c r="BH744"/>
      <c r="BI744"/>
      <c r="BJ744"/>
      <c r="BK744"/>
      <c r="BL744"/>
      <c r="BM744"/>
      <c r="BN744"/>
      <c r="BO744"/>
      <c r="BP744"/>
      <c r="BQ744"/>
      <c r="BR744"/>
      <c r="BS744"/>
      <c r="BT744"/>
      <c r="BU744"/>
      <c r="BV744"/>
      <c r="BW744"/>
      <c r="BX744"/>
      <c r="BY744"/>
      <c r="BZ744"/>
    </row>
    <row r="745" spans="4:78" x14ac:dyDescent="0.2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c r="AL745"/>
      <c r="AM745"/>
      <c r="AN745"/>
      <c r="AO745"/>
      <c r="AP745"/>
      <c r="AQ745"/>
      <c r="AR745"/>
      <c r="AS745"/>
      <c r="AT745"/>
      <c r="AU745"/>
      <c r="AV745"/>
      <c r="AW745"/>
      <c r="AX745"/>
      <c r="AY745"/>
      <c r="AZ745"/>
      <c r="BA745"/>
      <c r="BB745"/>
      <c r="BC745"/>
      <c r="BD745"/>
      <c r="BE745"/>
      <c r="BF745"/>
      <c r="BG745"/>
      <c r="BH745"/>
      <c r="BI745"/>
      <c r="BJ745"/>
      <c r="BK745"/>
      <c r="BL745"/>
      <c r="BM745"/>
      <c r="BN745"/>
      <c r="BO745"/>
      <c r="BP745"/>
      <c r="BQ745"/>
      <c r="BR745"/>
      <c r="BS745"/>
      <c r="BT745"/>
      <c r="BU745"/>
      <c r="BV745"/>
      <c r="BW745"/>
      <c r="BX745"/>
      <c r="BY745"/>
      <c r="BZ745"/>
    </row>
    <row r="746" spans="4:78" x14ac:dyDescent="0.25">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c r="AL746"/>
      <c r="AM746"/>
      <c r="AN746"/>
      <c r="AO746"/>
      <c r="AP746"/>
      <c r="AQ746"/>
      <c r="AR746"/>
      <c r="AS746"/>
      <c r="AT746"/>
      <c r="AU746"/>
      <c r="AV746"/>
      <c r="AW746"/>
      <c r="AX746"/>
      <c r="AY746"/>
      <c r="AZ746"/>
      <c r="BA746"/>
      <c r="BB746"/>
      <c r="BC746"/>
      <c r="BD746"/>
      <c r="BE746"/>
      <c r="BF746"/>
      <c r="BG746"/>
      <c r="BH746"/>
      <c r="BI746"/>
      <c r="BJ746"/>
      <c r="BK746"/>
      <c r="BL746"/>
      <c r="BM746"/>
      <c r="BN746"/>
      <c r="BO746"/>
      <c r="BP746"/>
      <c r="BQ746"/>
      <c r="BR746"/>
      <c r="BS746"/>
      <c r="BT746"/>
      <c r="BU746"/>
      <c r="BV746"/>
      <c r="BW746"/>
      <c r="BX746"/>
      <c r="BY746"/>
      <c r="BZ746"/>
    </row>
    <row r="747" spans="4:78" x14ac:dyDescent="0.25">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c r="AL747"/>
      <c r="AM747"/>
      <c r="AN747"/>
      <c r="AO747"/>
      <c r="AP747"/>
      <c r="AQ747"/>
      <c r="AR747"/>
      <c r="AS747"/>
      <c r="AT747"/>
      <c r="AU747"/>
      <c r="AV747"/>
      <c r="AW747"/>
      <c r="AX747"/>
      <c r="AY747"/>
      <c r="AZ747"/>
      <c r="BA747"/>
      <c r="BB747"/>
      <c r="BC747"/>
      <c r="BD747"/>
      <c r="BE747"/>
      <c r="BF747"/>
      <c r="BG747"/>
      <c r="BH747"/>
      <c r="BI747"/>
      <c r="BJ747"/>
      <c r="BK747"/>
      <c r="BL747"/>
      <c r="BM747"/>
      <c r="BN747"/>
      <c r="BO747"/>
      <c r="BP747"/>
      <c r="BQ747"/>
      <c r="BR747"/>
      <c r="BS747"/>
      <c r="BT747"/>
      <c r="BU747"/>
      <c r="BV747"/>
      <c r="BW747"/>
      <c r="BX747"/>
      <c r="BY747"/>
      <c r="BZ747"/>
    </row>
    <row r="748" spans="4:78" x14ac:dyDescent="0.25">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c r="AL748"/>
      <c r="AM748"/>
      <c r="AN748"/>
      <c r="AO748"/>
      <c r="AP748"/>
      <c r="AQ748"/>
      <c r="AR748"/>
      <c r="AS748"/>
      <c r="AT748"/>
      <c r="AU748"/>
      <c r="AV748"/>
      <c r="AW748"/>
      <c r="AX748"/>
      <c r="AY748"/>
      <c r="AZ748"/>
      <c r="BA748"/>
      <c r="BB748"/>
      <c r="BC748"/>
      <c r="BD748"/>
      <c r="BE748"/>
      <c r="BF748"/>
      <c r="BG748"/>
      <c r="BH748"/>
      <c r="BI748"/>
      <c r="BJ748"/>
      <c r="BK748"/>
      <c r="BL748"/>
      <c r="BM748"/>
      <c r="BN748"/>
      <c r="BO748"/>
      <c r="BP748"/>
      <c r="BQ748"/>
      <c r="BR748"/>
      <c r="BS748"/>
      <c r="BT748"/>
      <c r="BU748"/>
      <c r="BV748"/>
      <c r="BW748"/>
      <c r="BX748"/>
      <c r="BY748"/>
      <c r="BZ748"/>
    </row>
    <row r="749" spans="4:78" x14ac:dyDescent="0.25">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c r="AL749"/>
      <c r="AM749"/>
      <c r="AN749"/>
      <c r="AO749"/>
      <c r="AP749"/>
      <c r="AQ749"/>
      <c r="AR749"/>
      <c r="AS749"/>
      <c r="AT749"/>
      <c r="AU749"/>
      <c r="AV749"/>
      <c r="AW749"/>
      <c r="AX749"/>
      <c r="AY749"/>
      <c r="AZ749"/>
      <c r="BA749"/>
      <c r="BB749"/>
      <c r="BC749"/>
      <c r="BD749"/>
      <c r="BE749"/>
      <c r="BF749"/>
      <c r="BG749"/>
      <c r="BH749"/>
      <c r="BI749"/>
      <c r="BJ749"/>
      <c r="BK749"/>
      <c r="BL749"/>
      <c r="BM749"/>
      <c r="BN749"/>
      <c r="BO749"/>
      <c r="BP749"/>
      <c r="BQ749"/>
      <c r="BR749"/>
      <c r="BS749"/>
      <c r="BT749"/>
      <c r="BU749"/>
      <c r="BV749"/>
      <c r="BW749"/>
      <c r="BX749"/>
      <c r="BY749"/>
      <c r="BZ749"/>
    </row>
    <row r="750" spans="4:78" x14ac:dyDescent="0.25">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c r="AL750"/>
      <c r="AM750"/>
      <c r="AN750"/>
      <c r="AO750"/>
      <c r="AP750"/>
      <c r="AQ750"/>
      <c r="AR750"/>
      <c r="AS750"/>
      <c r="AT750"/>
      <c r="AU750"/>
      <c r="AV750"/>
      <c r="AW750"/>
      <c r="AX750"/>
      <c r="AY750"/>
      <c r="AZ750"/>
      <c r="BA750"/>
      <c r="BB750"/>
      <c r="BC750"/>
      <c r="BD750"/>
      <c r="BE750"/>
      <c r="BF750"/>
      <c r="BG750"/>
      <c r="BH750"/>
      <c r="BI750"/>
      <c r="BJ750"/>
      <c r="BK750"/>
      <c r="BL750"/>
      <c r="BM750"/>
      <c r="BN750"/>
      <c r="BO750"/>
      <c r="BP750"/>
      <c r="BQ750"/>
      <c r="BR750"/>
      <c r="BS750"/>
      <c r="BT750"/>
      <c r="BU750"/>
      <c r="BV750"/>
      <c r="BW750"/>
      <c r="BX750"/>
      <c r="BY750"/>
      <c r="BZ750"/>
    </row>
    <row r="751" spans="4:78" x14ac:dyDescent="0.25">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c r="AL751"/>
      <c r="AM751"/>
      <c r="AN751"/>
      <c r="AO751"/>
      <c r="AP751"/>
      <c r="AQ751"/>
      <c r="AR751"/>
      <c r="AS751"/>
      <c r="AT751"/>
      <c r="AU751"/>
      <c r="AV751"/>
      <c r="AW751"/>
      <c r="AX751"/>
      <c r="AY751"/>
      <c r="AZ751"/>
      <c r="BA751"/>
      <c r="BB751"/>
      <c r="BC751"/>
      <c r="BD751"/>
      <c r="BE751"/>
      <c r="BF751"/>
      <c r="BG751"/>
      <c r="BH751"/>
      <c r="BI751"/>
      <c r="BJ751"/>
      <c r="BK751"/>
      <c r="BL751"/>
      <c r="BM751"/>
      <c r="BN751"/>
      <c r="BO751"/>
      <c r="BP751"/>
      <c r="BQ751"/>
      <c r="BR751"/>
      <c r="BS751"/>
      <c r="BT751"/>
      <c r="BU751"/>
      <c r="BV751"/>
      <c r="BW751"/>
      <c r="BX751"/>
      <c r="BY751"/>
      <c r="BZ751"/>
    </row>
    <row r="752" spans="4:78" x14ac:dyDescent="0.25">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c r="AL752"/>
      <c r="AM752"/>
      <c r="AN752"/>
      <c r="AO752"/>
      <c r="AP752"/>
      <c r="AQ752"/>
      <c r="AR752"/>
      <c r="AS752"/>
      <c r="AT752"/>
      <c r="AU752"/>
      <c r="AV752"/>
      <c r="AW752"/>
      <c r="AX752"/>
      <c r="AY752"/>
      <c r="AZ752"/>
      <c r="BA752"/>
      <c r="BB752"/>
      <c r="BC752"/>
      <c r="BD752"/>
      <c r="BE752"/>
      <c r="BF752"/>
      <c r="BG752"/>
      <c r="BH752"/>
      <c r="BI752"/>
      <c r="BJ752"/>
      <c r="BK752"/>
      <c r="BL752"/>
      <c r="BM752"/>
      <c r="BN752"/>
      <c r="BO752"/>
      <c r="BP752"/>
      <c r="BQ752"/>
      <c r="BR752"/>
      <c r="BS752"/>
      <c r="BT752"/>
      <c r="BU752"/>
      <c r="BV752"/>
      <c r="BW752"/>
      <c r="BX752"/>
      <c r="BY752"/>
      <c r="BZ752"/>
    </row>
    <row r="753" spans="4:78" x14ac:dyDescent="0.25">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c r="AL753"/>
      <c r="AM753"/>
      <c r="AN753"/>
      <c r="AO753"/>
      <c r="AP753"/>
      <c r="AQ753"/>
      <c r="AR753"/>
      <c r="AS753"/>
      <c r="AT753"/>
      <c r="AU753"/>
      <c r="AV753"/>
      <c r="AW753"/>
      <c r="AX753"/>
      <c r="AY753"/>
      <c r="AZ753"/>
      <c r="BA753"/>
      <c r="BB753"/>
      <c r="BC753"/>
      <c r="BD753"/>
      <c r="BE753"/>
      <c r="BF753"/>
      <c r="BG753"/>
      <c r="BH753"/>
      <c r="BI753"/>
      <c r="BJ753"/>
      <c r="BK753"/>
      <c r="BL753"/>
      <c r="BM753"/>
      <c r="BN753"/>
      <c r="BO753"/>
      <c r="BP753"/>
      <c r="BQ753"/>
      <c r="BR753"/>
      <c r="BS753"/>
      <c r="BT753"/>
      <c r="BU753"/>
      <c r="BV753"/>
      <c r="BW753"/>
      <c r="BX753"/>
      <c r="BY753"/>
      <c r="BZ753"/>
    </row>
    <row r="754" spans="4:78" x14ac:dyDescent="0.25">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c r="AL754"/>
      <c r="AM754"/>
      <c r="AN754"/>
      <c r="AO754"/>
      <c r="AP754"/>
      <c r="AQ754"/>
      <c r="AR754"/>
      <c r="AS754"/>
      <c r="AT754"/>
      <c r="AU754"/>
      <c r="AV754"/>
      <c r="AW754"/>
      <c r="AX754"/>
      <c r="AY754"/>
      <c r="AZ754"/>
      <c r="BA754"/>
      <c r="BB754"/>
      <c r="BC754"/>
      <c r="BD754"/>
      <c r="BE754"/>
      <c r="BF754"/>
      <c r="BG754"/>
      <c r="BH754"/>
      <c r="BI754"/>
      <c r="BJ754"/>
      <c r="BK754"/>
      <c r="BL754"/>
      <c r="BM754"/>
      <c r="BN754"/>
      <c r="BO754"/>
      <c r="BP754"/>
      <c r="BQ754"/>
      <c r="BR754"/>
      <c r="BS754"/>
      <c r="BT754"/>
      <c r="BU754"/>
      <c r="BV754"/>
      <c r="BW754"/>
      <c r="BX754"/>
      <c r="BY754"/>
      <c r="BZ754"/>
    </row>
    <row r="755" spans="4:78" x14ac:dyDescent="0.2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c r="AL755"/>
      <c r="AM755"/>
      <c r="AN755"/>
      <c r="AO755"/>
      <c r="AP755"/>
      <c r="AQ755"/>
      <c r="AR755"/>
      <c r="AS755"/>
      <c r="AT755"/>
      <c r="AU755"/>
      <c r="AV755"/>
      <c r="AW755"/>
      <c r="AX755"/>
      <c r="AY755"/>
      <c r="AZ755"/>
      <c r="BA755"/>
      <c r="BB755"/>
      <c r="BC755"/>
      <c r="BD755"/>
      <c r="BE755"/>
      <c r="BF755"/>
      <c r="BG755"/>
      <c r="BH755"/>
      <c r="BI755"/>
      <c r="BJ755"/>
      <c r="BK755"/>
      <c r="BL755"/>
      <c r="BM755"/>
      <c r="BN755"/>
      <c r="BO755"/>
      <c r="BP755"/>
      <c r="BQ755"/>
      <c r="BR755"/>
      <c r="BS755"/>
      <c r="BT755"/>
      <c r="BU755"/>
      <c r="BV755"/>
      <c r="BW755"/>
      <c r="BX755"/>
      <c r="BY755"/>
      <c r="BZ755"/>
    </row>
    <row r="756" spans="4:78" x14ac:dyDescent="0.25">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c r="AL756"/>
      <c r="AM756"/>
      <c r="AN756"/>
      <c r="AO756"/>
      <c r="AP756"/>
      <c r="AQ756"/>
      <c r="AR756"/>
      <c r="AS756"/>
      <c r="AT756"/>
      <c r="AU756"/>
      <c r="AV756"/>
      <c r="AW756"/>
      <c r="AX756"/>
      <c r="AY756"/>
      <c r="AZ756"/>
      <c r="BA756"/>
      <c r="BB756"/>
      <c r="BC756"/>
      <c r="BD756"/>
      <c r="BE756"/>
      <c r="BF756"/>
      <c r="BG756"/>
      <c r="BH756"/>
      <c r="BI756"/>
      <c r="BJ756"/>
      <c r="BK756"/>
      <c r="BL756"/>
      <c r="BM756"/>
      <c r="BN756"/>
      <c r="BO756"/>
      <c r="BP756"/>
      <c r="BQ756"/>
      <c r="BR756"/>
      <c r="BS756"/>
      <c r="BT756"/>
      <c r="BU756"/>
      <c r="BV756"/>
      <c r="BW756"/>
      <c r="BX756"/>
      <c r="BY756"/>
      <c r="BZ756"/>
    </row>
    <row r="757" spans="4:78" x14ac:dyDescent="0.25">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c r="AL757"/>
      <c r="AM757"/>
      <c r="AN757"/>
      <c r="AO757"/>
      <c r="AP757"/>
      <c r="AQ757"/>
      <c r="AR757"/>
      <c r="AS757"/>
      <c r="AT757"/>
      <c r="AU757"/>
      <c r="AV757"/>
      <c r="AW757"/>
      <c r="AX757"/>
      <c r="AY757"/>
      <c r="AZ757"/>
      <c r="BA757"/>
      <c r="BB757"/>
      <c r="BC757"/>
      <c r="BD757"/>
      <c r="BE757"/>
      <c r="BF757"/>
      <c r="BG757"/>
      <c r="BH757"/>
      <c r="BI757"/>
      <c r="BJ757"/>
      <c r="BK757"/>
      <c r="BL757"/>
      <c r="BM757"/>
      <c r="BN757"/>
      <c r="BO757"/>
      <c r="BP757"/>
      <c r="BQ757"/>
      <c r="BR757"/>
      <c r="BS757"/>
      <c r="BT757"/>
      <c r="BU757"/>
      <c r="BV757"/>
      <c r="BW757"/>
      <c r="BX757"/>
      <c r="BY757"/>
      <c r="BZ757"/>
    </row>
    <row r="758" spans="4:78" x14ac:dyDescent="0.25">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c r="AL758"/>
      <c r="AM758"/>
      <c r="AN758"/>
      <c r="AO758"/>
      <c r="AP758"/>
      <c r="AQ758"/>
      <c r="AR758"/>
      <c r="AS758"/>
      <c r="AT758"/>
      <c r="AU758"/>
      <c r="AV758"/>
      <c r="AW758"/>
      <c r="AX758"/>
      <c r="AY758"/>
      <c r="AZ758"/>
      <c r="BA758"/>
      <c r="BB758"/>
      <c r="BC758"/>
      <c r="BD758"/>
      <c r="BE758"/>
      <c r="BF758"/>
      <c r="BG758"/>
      <c r="BH758"/>
      <c r="BI758"/>
      <c r="BJ758"/>
      <c r="BK758"/>
      <c r="BL758"/>
      <c r="BM758"/>
      <c r="BN758"/>
      <c r="BO758"/>
      <c r="BP758"/>
      <c r="BQ758"/>
      <c r="BR758"/>
      <c r="BS758"/>
      <c r="BT758"/>
      <c r="BU758"/>
      <c r="BV758"/>
      <c r="BW758"/>
      <c r="BX758"/>
      <c r="BY758"/>
      <c r="BZ758"/>
    </row>
    <row r="759" spans="4:78" x14ac:dyDescent="0.25">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c r="AL759"/>
      <c r="AM759"/>
      <c r="AN759"/>
      <c r="AO759"/>
      <c r="AP759"/>
      <c r="AQ759"/>
      <c r="AR759"/>
      <c r="AS759"/>
      <c r="AT759"/>
      <c r="AU759"/>
      <c r="AV759"/>
      <c r="AW759"/>
      <c r="AX759"/>
      <c r="AY759"/>
      <c r="AZ759"/>
      <c r="BA759"/>
      <c r="BB759"/>
      <c r="BC759"/>
      <c r="BD759"/>
      <c r="BE759"/>
      <c r="BF759"/>
      <c r="BG759"/>
      <c r="BH759"/>
      <c r="BI759"/>
      <c r="BJ759"/>
      <c r="BK759"/>
      <c r="BL759"/>
      <c r="BM759"/>
      <c r="BN759"/>
      <c r="BO759"/>
      <c r="BP759"/>
      <c r="BQ759"/>
      <c r="BR759"/>
      <c r="BS759"/>
      <c r="BT759"/>
      <c r="BU759"/>
      <c r="BV759"/>
      <c r="BW759"/>
      <c r="BX759"/>
      <c r="BY759"/>
      <c r="BZ759"/>
    </row>
    <row r="760" spans="4:78" x14ac:dyDescent="0.25">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c r="AL760"/>
      <c r="AM760"/>
      <c r="AN760"/>
      <c r="AO760"/>
      <c r="AP760"/>
      <c r="AQ760"/>
      <c r="AR760"/>
      <c r="AS760"/>
      <c r="AT760"/>
      <c r="AU760"/>
      <c r="AV760"/>
      <c r="AW760"/>
      <c r="AX760"/>
      <c r="AY760"/>
      <c r="AZ760"/>
      <c r="BA760"/>
      <c r="BB760"/>
      <c r="BC760"/>
      <c r="BD760"/>
      <c r="BE760"/>
      <c r="BF760"/>
      <c r="BG760"/>
      <c r="BH760"/>
      <c r="BI760"/>
      <c r="BJ760"/>
      <c r="BK760"/>
      <c r="BL760"/>
      <c r="BM760"/>
      <c r="BN760"/>
      <c r="BO760"/>
      <c r="BP760"/>
      <c r="BQ760"/>
      <c r="BR760"/>
      <c r="BS760"/>
      <c r="BT760"/>
      <c r="BU760"/>
      <c r="BV760"/>
      <c r="BW760"/>
      <c r="BX760"/>
      <c r="BY760"/>
      <c r="BZ760"/>
    </row>
    <row r="761" spans="4:78" x14ac:dyDescent="0.25">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c r="AL761"/>
      <c r="AM761"/>
      <c r="AN761"/>
      <c r="AO761"/>
      <c r="AP761"/>
      <c r="AQ761"/>
      <c r="AR761"/>
      <c r="AS761"/>
      <c r="AT761"/>
      <c r="AU761"/>
      <c r="AV761"/>
      <c r="AW761"/>
      <c r="AX761"/>
      <c r="AY761"/>
      <c r="AZ761"/>
      <c r="BA761"/>
      <c r="BB761"/>
      <c r="BC761"/>
      <c r="BD761"/>
      <c r="BE761"/>
      <c r="BF761"/>
      <c r="BG761"/>
      <c r="BH761"/>
      <c r="BI761"/>
      <c r="BJ761"/>
      <c r="BK761"/>
      <c r="BL761"/>
      <c r="BM761"/>
      <c r="BN761"/>
      <c r="BO761"/>
      <c r="BP761"/>
      <c r="BQ761"/>
      <c r="BR761"/>
      <c r="BS761"/>
      <c r="BT761"/>
      <c r="BU761"/>
      <c r="BV761"/>
      <c r="BW761"/>
      <c r="BX761"/>
      <c r="BY761"/>
      <c r="BZ761"/>
    </row>
    <row r="762" spans="4:78" x14ac:dyDescent="0.25">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c r="AL762"/>
      <c r="AM762"/>
      <c r="AN762"/>
      <c r="AO762"/>
      <c r="AP762"/>
      <c r="AQ762"/>
      <c r="AR762"/>
      <c r="AS762"/>
      <c r="AT762"/>
      <c r="AU762"/>
      <c r="AV762"/>
      <c r="AW762"/>
      <c r="AX762"/>
      <c r="AY762"/>
      <c r="AZ762"/>
      <c r="BA762"/>
      <c r="BB762"/>
      <c r="BC762"/>
      <c r="BD762"/>
      <c r="BE762"/>
      <c r="BF762"/>
      <c r="BG762"/>
      <c r="BH762"/>
      <c r="BI762"/>
      <c r="BJ762"/>
      <c r="BK762"/>
      <c r="BL762"/>
      <c r="BM762"/>
      <c r="BN762"/>
      <c r="BO762"/>
      <c r="BP762"/>
      <c r="BQ762"/>
      <c r="BR762"/>
      <c r="BS762"/>
      <c r="BT762"/>
      <c r="BU762"/>
      <c r="BV762"/>
      <c r="BW762"/>
      <c r="BX762"/>
      <c r="BY762"/>
      <c r="BZ762"/>
    </row>
    <row r="763" spans="4:78" x14ac:dyDescent="0.25">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c r="AL763"/>
      <c r="AM763"/>
      <c r="AN763"/>
      <c r="AO763"/>
      <c r="AP763"/>
      <c r="AQ763"/>
      <c r="AR763"/>
      <c r="AS763"/>
      <c r="AT763"/>
      <c r="AU763"/>
      <c r="AV763"/>
      <c r="AW763"/>
      <c r="AX763"/>
      <c r="AY763"/>
      <c r="AZ763"/>
      <c r="BA763"/>
      <c r="BB763"/>
      <c r="BC763"/>
      <c r="BD763"/>
      <c r="BE763"/>
      <c r="BF763"/>
      <c r="BG763"/>
      <c r="BH763"/>
      <c r="BI763"/>
      <c r="BJ763"/>
      <c r="BK763"/>
      <c r="BL763"/>
      <c r="BM763"/>
      <c r="BN763"/>
      <c r="BO763"/>
      <c r="BP763"/>
      <c r="BQ763"/>
      <c r="BR763"/>
      <c r="BS763"/>
      <c r="BT763"/>
      <c r="BU763"/>
      <c r="BV763"/>
      <c r="BW763"/>
      <c r="BX763"/>
      <c r="BY763"/>
      <c r="BZ763"/>
    </row>
    <row r="764" spans="4:78" x14ac:dyDescent="0.25">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c r="AL764"/>
      <c r="AM764"/>
      <c r="AN764"/>
      <c r="AO764"/>
      <c r="AP764"/>
      <c r="AQ764"/>
      <c r="AR764"/>
      <c r="AS764"/>
      <c r="AT764"/>
      <c r="AU764"/>
      <c r="AV764"/>
      <c r="AW764"/>
      <c r="AX764"/>
      <c r="AY764"/>
      <c r="AZ764"/>
      <c r="BA764"/>
      <c r="BB764"/>
      <c r="BC764"/>
      <c r="BD764"/>
      <c r="BE764"/>
      <c r="BF764"/>
      <c r="BG764"/>
      <c r="BH764"/>
      <c r="BI764"/>
      <c r="BJ764"/>
      <c r="BK764"/>
      <c r="BL764"/>
      <c r="BM764"/>
      <c r="BN764"/>
      <c r="BO764"/>
      <c r="BP764"/>
      <c r="BQ764"/>
      <c r="BR764"/>
      <c r="BS764"/>
      <c r="BT764"/>
      <c r="BU764"/>
      <c r="BV764"/>
      <c r="BW764"/>
      <c r="BX764"/>
      <c r="BY764"/>
      <c r="BZ764"/>
    </row>
    <row r="765" spans="4:78" x14ac:dyDescent="0.2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c r="AL765"/>
      <c r="AM765"/>
      <c r="AN765"/>
      <c r="AO765"/>
      <c r="AP765"/>
      <c r="AQ765"/>
      <c r="AR765"/>
      <c r="AS765"/>
      <c r="AT765"/>
      <c r="AU765"/>
      <c r="AV765"/>
      <c r="AW765"/>
      <c r="AX765"/>
      <c r="AY765"/>
      <c r="AZ765"/>
      <c r="BA765"/>
      <c r="BB765"/>
      <c r="BC765"/>
      <c r="BD765"/>
      <c r="BE765"/>
      <c r="BF765"/>
      <c r="BG765"/>
      <c r="BH765"/>
      <c r="BI765"/>
      <c r="BJ765"/>
      <c r="BK765"/>
      <c r="BL765"/>
      <c r="BM765"/>
      <c r="BN765"/>
      <c r="BO765"/>
      <c r="BP765"/>
      <c r="BQ765"/>
      <c r="BR765"/>
      <c r="BS765"/>
      <c r="BT765"/>
      <c r="BU765"/>
      <c r="BV765"/>
      <c r="BW765"/>
      <c r="BX765"/>
      <c r="BY765"/>
      <c r="BZ765"/>
    </row>
    <row r="766" spans="4:78" x14ac:dyDescent="0.25">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c r="AL766"/>
      <c r="AM766"/>
      <c r="AN766"/>
      <c r="AO766"/>
      <c r="AP766"/>
      <c r="AQ766"/>
      <c r="AR766"/>
      <c r="AS766"/>
      <c r="AT766"/>
      <c r="AU766"/>
      <c r="AV766"/>
      <c r="AW766"/>
      <c r="AX766"/>
      <c r="AY766"/>
      <c r="AZ766"/>
      <c r="BA766"/>
      <c r="BB766"/>
      <c r="BC766"/>
      <c r="BD766"/>
      <c r="BE766"/>
      <c r="BF766"/>
      <c r="BG766"/>
      <c r="BH766"/>
      <c r="BI766"/>
      <c r="BJ766"/>
      <c r="BK766"/>
      <c r="BL766"/>
      <c r="BM766"/>
      <c r="BN766"/>
      <c r="BO766"/>
      <c r="BP766"/>
      <c r="BQ766"/>
      <c r="BR766"/>
      <c r="BS766"/>
      <c r="BT766"/>
      <c r="BU766"/>
      <c r="BV766"/>
      <c r="BW766"/>
      <c r="BX766"/>
      <c r="BY766"/>
      <c r="BZ766"/>
    </row>
    <row r="767" spans="4:78" x14ac:dyDescent="0.25">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c r="AL767"/>
      <c r="AM767"/>
      <c r="AN767"/>
      <c r="AO767"/>
      <c r="AP767"/>
      <c r="AQ767"/>
      <c r="AR767"/>
      <c r="AS767"/>
      <c r="AT767"/>
      <c r="AU767"/>
      <c r="AV767"/>
      <c r="AW767"/>
      <c r="AX767"/>
      <c r="AY767"/>
      <c r="AZ767"/>
      <c r="BA767"/>
      <c r="BB767"/>
      <c r="BC767"/>
      <c r="BD767"/>
      <c r="BE767"/>
      <c r="BF767"/>
      <c r="BG767"/>
      <c r="BH767"/>
      <c r="BI767"/>
      <c r="BJ767"/>
      <c r="BK767"/>
      <c r="BL767"/>
      <c r="BM767"/>
      <c r="BN767"/>
      <c r="BO767"/>
      <c r="BP767"/>
      <c r="BQ767"/>
      <c r="BR767"/>
      <c r="BS767"/>
      <c r="BT767"/>
      <c r="BU767"/>
      <c r="BV767"/>
      <c r="BW767"/>
      <c r="BX767"/>
      <c r="BY767"/>
      <c r="BZ767"/>
    </row>
    <row r="768" spans="4:78" x14ac:dyDescent="0.25">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c r="AL768"/>
      <c r="AM768"/>
      <c r="AN768"/>
      <c r="AO768"/>
      <c r="AP768"/>
      <c r="AQ768"/>
      <c r="AR768"/>
      <c r="AS768"/>
      <c r="AT768"/>
      <c r="AU768"/>
      <c r="AV768"/>
      <c r="AW768"/>
      <c r="AX768"/>
      <c r="AY768"/>
      <c r="AZ768"/>
      <c r="BA768"/>
      <c r="BB768"/>
      <c r="BC768"/>
      <c r="BD768"/>
      <c r="BE768"/>
      <c r="BF768"/>
      <c r="BG768"/>
      <c r="BH768"/>
      <c r="BI768"/>
      <c r="BJ768"/>
      <c r="BK768"/>
      <c r="BL768"/>
      <c r="BM768"/>
      <c r="BN768"/>
      <c r="BO768"/>
      <c r="BP768"/>
      <c r="BQ768"/>
      <c r="BR768"/>
      <c r="BS768"/>
      <c r="BT768"/>
      <c r="BU768"/>
      <c r="BV768"/>
      <c r="BW768"/>
      <c r="BX768"/>
      <c r="BY768"/>
      <c r="BZ768"/>
    </row>
    <row r="769" spans="4:78" x14ac:dyDescent="0.25">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c r="AL769"/>
      <c r="AM769"/>
      <c r="AN769"/>
      <c r="AO769"/>
      <c r="AP769"/>
      <c r="AQ769"/>
      <c r="AR769"/>
      <c r="AS769"/>
      <c r="AT769"/>
      <c r="AU769"/>
      <c r="AV769"/>
      <c r="AW769"/>
      <c r="AX769"/>
      <c r="AY769"/>
      <c r="AZ769"/>
      <c r="BA769"/>
      <c r="BB769"/>
      <c r="BC769"/>
      <c r="BD769"/>
      <c r="BE769"/>
      <c r="BF769"/>
      <c r="BG769"/>
      <c r="BH769"/>
      <c r="BI769"/>
      <c r="BJ769"/>
      <c r="BK769"/>
      <c r="BL769"/>
      <c r="BM769"/>
      <c r="BN769"/>
      <c r="BO769"/>
      <c r="BP769"/>
      <c r="BQ769"/>
      <c r="BR769"/>
      <c r="BS769"/>
      <c r="BT769"/>
      <c r="BU769"/>
      <c r="BV769"/>
      <c r="BW769"/>
      <c r="BX769"/>
      <c r="BY769"/>
      <c r="BZ769"/>
    </row>
    <row r="770" spans="4:78" x14ac:dyDescent="0.25">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c r="AL770"/>
      <c r="AM770"/>
      <c r="AN770"/>
      <c r="AO770"/>
      <c r="AP770"/>
      <c r="AQ770"/>
      <c r="AR770"/>
      <c r="AS770"/>
      <c r="AT770"/>
      <c r="AU770"/>
      <c r="AV770"/>
      <c r="AW770"/>
      <c r="AX770"/>
      <c r="AY770"/>
      <c r="AZ770"/>
      <c r="BA770"/>
      <c r="BB770"/>
      <c r="BC770"/>
      <c r="BD770"/>
      <c r="BE770"/>
      <c r="BF770"/>
      <c r="BG770"/>
      <c r="BH770"/>
      <c r="BI770"/>
      <c r="BJ770"/>
      <c r="BK770"/>
      <c r="BL770"/>
      <c r="BM770"/>
      <c r="BN770"/>
      <c r="BO770"/>
      <c r="BP770"/>
      <c r="BQ770"/>
      <c r="BR770"/>
      <c r="BS770"/>
      <c r="BT770"/>
      <c r="BU770"/>
      <c r="BV770"/>
      <c r="BW770"/>
      <c r="BX770"/>
      <c r="BY770"/>
      <c r="BZ770"/>
    </row>
    <row r="771" spans="4:78" x14ac:dyDescent="0.25">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c r="AL771"/>
      <c r="AM771"/>
      <c r="AN771"/>
      <c r="AO771"/>
      <c r="AP771"/>
      <c r="AQ771"/>
      <c r="AR771"/>
      <c r="AS771"/>
      <c r="AT771"/>
      <c r="AU771"/>
      <c r="AV771"/>
      <c r="AW771"/>
      <c r="AX771"/>
      <c r="AY771"/>
      <c r="AZ771"/>
      <c r="BA771"/>
      <c r="BB771"/>
      <c r="BC771"/>
      <c r="BD771"/>
      <c r="BE771"/>
      <c r="BF771"/>
      <c r="BG771"/>
      <c r="BH771"/>
      <c r="BI771"/>
      <c r="BJ771"/>
      <c r="BK771"/>
      <c r="BL771"/>
      <c r="BM771"/>
      <c r="BN771"/>
      <c r="BO771"/>
      <c r="BP771"/>
      <c r="BQ771"/>
      <c r="BR771"/>
      <c r="BS771"/>
      <c r="BT771"/>
      <c r="BU771"/>
      <c r="BV771"/>
      <c r="BW771"/>
      <c r="BX771"/>
      <c r="BY771"/>
      <c r="BZ771"/>
    </row>
    <row r="772" spans="4:78" x14ac:dyDescent="0.25">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c r="AL772"/>
      <c r="AM772"/>
      <c r="AN772"/>
      <c r="AO772"/>
      <c r="AP772"/>
      <c r="AQ772"/>
      <c r="AR772"/>
      <c r="AS772"/>
      <c r="AT772"/>
      <c r="AU772"/>
      <c r="AV772"/>
      <c r="AW772"/>
      <c r="AX772"/>
      <c r="AY772"/>
      <c r="AZ772"/>
      <c r="BA772"/>
      <c r="BB772"/>
      <c r="BC772"/>
      <c r="BD772"/>
      <c r="BE772"/>
      <c r="BF772"/>
      <c r="BG772"/>
      <c r="BH772"/>
      <c r="BI772"/>
      <c r="BJ772"/>
      <c r="BK772"/>
      <c r="BL772"/>
      <c r="BM772"/>
      <c r="BN772"/>
      <c r="BO772"/>
      <c r="BP772"/>
      <c r="BQ772"/>
      <c r="BR772"/>
      <c r="BS772"/>
      <c r="BT772"/>
      <c r="BU772"/>
      <c r="BV772"/>
      <c r="BW772"/>
      <c r="BX772"/>
      <c r="BY772"/>
      <c r="BZ772"/>
    </row>
    <row r="773" spans="4:78" x14ac:dyDescent="0.25">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c r="AL773"/>
      <c r="AM773"/>
      <c r="AN773"/>
      <c r="AO773"/>
      <c r="AP773"/>
      <c r="AQ773"/>
      <c r="AR773"/>
      <c r="AS773"/>
      <c r="AT773"/>
      <c r="AU773"/>
      <c r="AV773"/>
      <c r="AW773"/>
      <c r="AX773"/>
      <c r="AY773"/>
      <c r="AZ773"/>
      <c r="BA773"/>
      <c r="BB773"/>
      <c r="BC773"/>
      <c r="BD773"/>
      <c r="BE773"/>
      <c r="BF773"/>
      <c r="BG773"/>
      <c r="BH773"/>
      <c r="BI773"/>
      <c r="BJ773"/>
      <c r="BK773"/>
      <c r="BL773"/>
      <c r="BM773"/>
      <c r="BN773"/>
      <c r="BO773"/>
      <c r="BP773"/>
      <c r="BQ773"/>
      <c r="BR773"/>
      <c r="BS773"/>
      <c r="BT773"/>
      <c r="BU773"/>
      <c r="BV773"/>
      <c r="BW773"/>
      <c r="BX773"/>
      <c r="BY773"/>
      <c r="BZ773"/>
    </row>
    <row r="774" spans="4:78" x14ac:dyDescent="0.25">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c r="AL774"/>
      <c r="AM774"/>
      <c r="AN774"/>
      <c r="AO774"/>
      <c r="AP774"/>
      <c r="AQ774"/>
      <c r="AR774"/>
      <c r="AS774"/>
      <c r="AT774"/>
      <c r="AU774"/>
      <c r="AV774"/>
      <c r="AW774"/>
      <c r="AX774"/>
      <c r="AY774"/>
      <c r="AZ774"/>
      <c r="BA774"/>
      <c r="BB774"/>
      <c r="BC774"/>
      <c r="BD774"/>
      <c r="BE774"/>
      <c r="BF774"/>
      <c r="BG774"/>
      <c r="BH774"/>
      <c r="BI774"/>
      <c r="BJ774"/>
      <c r="BK774"/>
      <c r="BL774"/>
      <c r="BM774"/>
      <c r="BN774"/>
      <c r="BO774"/>
      <c r="BP774"/>
      <c r="BQ774"/>
      <c r="BR774"/>
      <c r="BS774"/>
      <c r="BT774"/>
      <c r="BU774"/>
      <c r="BV774"/>
      <c r="BW774"/>
      <c r="BX774"/>
      <c r="BY774"/>
      <c r="BZ774"/>
    </row>
    <row r="775" spans="4:78" x14ac:dyDescent="0.2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c r="AL775"/>
      <c r="AM775"/>
      <c r="AN775"/>
      <c r="AO775"/>
      <c r="AP775"/>
      <c r="AQ775"/>
      <c r="AR775"/>
      <c r="AS775"/>
      <c r="AT775"/>
      <c r="AU775"/>
      <c r="AV775"/>
      <c r="AW775"/>
      <c r="AX775"/>
      <c r="AY775"/>
      <c r="AZ775"/>
      <c r="BA775"/>
      <c r="BB775"/>
      <c r="BC775"/>
      <c r="BD775"/>
      <c r="BE775"/>
      <c r="BF775"/>
      <c r="BG775"/>
      <c r="BH775"/>
      <c r="BI775"/>
      <c r="BJ775"/>
      <c r="BK775"/>
      <c r="BL775"/>
      <c r="BM775"/>
      <c r="BN775"/>
      <c r="BO775"/>
      <c r="BP775"/>
      <c r="BQ775"/>
      <c r="BR775"/>
      <c r="BS775"/>
      <c r="BT775"/>
      <c r="BU775"/>
      <c r="BV775"/>
      <c r="BW775"/>
      <c r="BX775"/>
      <c r="BY775"/>
      <c r="BZ775"/>
    </row>
    <row r="776" spans="4:78" x14ac:dyDescent="0.25">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c r="AL776"/>
      <c r="AM776"/>
      <c r="AN776"/>
      <c r="AO776"/>
      <c r="AP776"/>
      <c r="AQ776"/>
      <c r="AR776"/>
      <c r="AS776"/>
      <c r="AT776"/>
      <c r="AU776"/>
      <c r="AV776"/>
      <c r="AW776"/>
      <c r="AX776"/>
      <c r="AY776"/>
      <c r="AZ776"/>
      <c r="BA776"/>
      <c r="BB776"/>
      <c r="BC776"/>
      <c r="BD776"/>
      <c r="BE776"/>
      <c r="BF776"/>
      <c r="BG776"/>
      <c r="BH776"/>
      <c r="BI776"/>
      <c r="BJ776"/>
      <c r="BK776"/>
      <c r="BL776"/>
      <c r="BM776"/>
      <c r="BN776"/>
      <c r="BO776"/>
      <c r="BP776"/>
      <c r="BQ776"/>
      <c r="BR776"/>
      <c r="BS776"/>
      <c r="BT776"/>
      <c r="BU776"/>
      <c r="BV776"/>
      <c r="BW776"/>
      <c r="BX776"/>
      <c r="BY776"/>
      <c r="BZ776"/>
    </row>
    <row r="777" spans="4:78" x14ac:dyDescent="0.25">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c r="AL777"/>
      <c r="AM777"/>
      <c r="AN777"/>
      <c r="AO777"/>
      <c r="AP777"/>
      <c r="AQ777"/>
      <c r="AR777"/>
      <c r="AS777"/>
      <c r="AT777"/>
      <c r="AU777"/>
      <c r="AV777"/>
      <c r="AW777"/>
      <c r="AX777"/>
      <c r="AY777"/>
      <c r="AZ777"/>
      <c r="BA777"/>
      <c r="BB777"/>
      <c r="BC777"/>
      <c r="BD777"/>
      <c r="BE777"/>
      <c r="BF777"/>
      <c r="BG777"/>
      <c r="BH777"/>
      <c r="BI777"/>
      <c r="BJ777"/>
      <c r="BK777"/>
      <c r="BL777"/>
      <c r="BM777"/>
      <c r="BN777"/>
      <c r="BO777"/>
      <c r="BP777"/>
      <c r="BQ777"/>
      <c r="BR777"/>
      <c r="BS777"/>
      <c r="BT777"/>
      <c r="BU777"/>
      <c r="BV777"/>
      <c r="BW777"/>
      <c r="BX777"/>
      <c r="BY777"/>
      <c r="BZ777"/>
    </row>
    <row r="778" spans="4:78" x14ac:dyDescent="0.25">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c r="AL778"/>
      <c r="AM778"/>
      <c r="AN778"/>
      <c r="AO778"/>
      <c r="AP778"/>
      <c r="AQ778"/>
      <c r="AR778"/>
      <c r="AS778"/>
      <c r="AT778"/>
      <c r="AU778"/>
      <c r="AV778"/>
      <c r="AW778"/>
      <c r="AX778"/>
      <c r="AY778"/>
      <c r="AZ778"/>
      <c r="BA778"/>
      <c r="BB778"/>
      <c r="BC778"/>
      <c r="BD778"/>
      <c r="BE778"/>
      <c r="BF778"/>
      <c r="BG778"/>
      <c r="BH778"/>
      <c r="BI778"/>
      <c r="BJ778"/>
      <c r="BK778"/>
      <c r="BL778"/>
      <c r="BM778"/>
      <c r="BN778"/>
      <c r="BO778"/>
      <c r="BP778"/>
      <c r="BQ778"/>
      <c r="BR778"/>
      <c r="BS778"/>
      <c r="BT778"/>
      <c r="BU778"/>
      <c r="BV778"/>
      <c r="BW778"/>
      <c r="BX778"/>
      <c r="BY778"/>
      <c r="BZ778"/>
    </row>
    <row r="779" spans="4:78" x14ac:dyDescent="0.25">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c r="AL779"/>
      <c r="AM779"/>
      <c r="AN779"/>
      <c r="AO779"/>
      <c r="AP779"/>
      <c r="AQ779"/>
      <c r="AR779"/>
      <c r="AS779"/>
      <c r="AT779"/>
      <c r="AU779"/>
      <c r="AV779"/>
      <c r="AW779"/>
      <c r="AX779"/>
      <c r="AY779"/>
      <c r="AZ779"/>
      <c r="BA779"/>
      <c r="BB779"/>
      <c r="BC779"/>
      <c r="BD779"/>
      <c r="BE779"/>
      <c r="BF779"/>
      <c r="BG779"/>
      <c r="BH779"/>
      <c r="BI779"/>
      <c r="BJ779"/>
      <c r="BK779"/>
      <c r="BL779"/>
      <c r="BM779"/>
      <c r="BN779"/>
      <c r="BO779"/>
      <c r="BP779"/>
      <c r="BQ779"/>
      <c r="BR779"/>
      <c r="BS779"/>
      <c r="BT779"/>
      <c r="BU779"/>
      <c r="BV779"/>
      <c r="BW779"/>
      <c r="BX779"/>
      <c r="BY779"/>
      <c r="BZ779"/>
    </row>
    <row r="780" spans="4:78" x14ac:dyDescent="0.25">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c r="AL780"/>
      <c r="AM780"/>
      <c r="AN780"/>
      <c r="AO780"/>
      <c r="AP780"/>
      <c r="AQ780"/>
      <c r="AR780"/>
      <c r="AS780"/>
      <c r="AT780"/>
      <c r="AU780"/>
      <c r="AV780"/>
      <c r="AW780"/>
      <c r="AX780"/>
      <c r="AY780"/>
      <c r="AZ780"/>
      <c r="BA780"/>
      <c r="BB780"/>
      <c r="BC780"/>
      <c r="BD780"/>
      <c r="BE780"/>
      <c r="BF780"/>
      <c r="BG780"/>
      <c r="BH780"/>
      <c r="BI780"/>
      <c r="BJ780"/>
      <c r="BK780"/>
      <c r="BL780"/>
      <c r="BM780"/>
      <c r="BN780"/>
      <c r="BO780"/>
      <c r="BP780"/>
      <c r="BQ780"/>
      <c r="BR780"/>
      <c r="BS780"/>
      <c r="BT780"/>
      <c r="BU780"/>
      <c r="BV780"/>
      <c r="BW780"/>
      <c r="BX780"/>
      <c r="BY780"/>
      <c r="BZ780"/>
    </row>
    <row r="781" spans="4:78" x14ac:dyDescent="0.25">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c r="AL781"/>
      <c r="AM781"/>
      <c r="AN781"/>
      <c r="AO781"/>
      <c r="AP781"/>
      <c r="AQ781"/>
      <c r="AR781"/>
      <c r="AS781"/>
      <c r="AT781"/>
      <c r="AU781"/>
      <c r="AV781"/>
      <c r="AW781"/>
      <c r="AX781"/>
      <c r="AY781"/>
      <c r="AZ781"/>
      <c r="BA781"/>
      <c r="BB781"/>
      <c r="BC781"/>
      <c r="BD781"/>
      <c r="BE781"/>
      <c r="BF781"/>
      <c r="BG781"/>
      <c r="BH781"/>
      <c r="BI781"/>
      <c r="BJ781"/>
      <c r="BK781"/>
      <c r="BL781"/>
      <c r="BM781"/>
      <c r="BN781"/>
      <c r="BO781"/>
      <c r="BP781"/>
      <c r="BQ781"/>
      <c r="BR781"/>
      <c r="BS781"/>
      <c r="BT781"/>
      <c r="BU781"/>
      <c r="BV781"/>
      <c r="BW781"/>
      <c r="BX781"/>
      <c r="BY781"/>
      <c r="BZ781"/>
    </row>
    <row r="782" spans="4:78" x14ac:dyDescent="0.25">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c r="AL782"/>
      <c r="AM782"/>
      <c r="AN782"/>
      <c r="AO782"/>
      <c r="AP782"/>
      <c r="AQ782"/>
      <c r="AR782"/>
      <c r="AS782"/>
      <c r="AT782"/>
      <c r="AU782"/>
      <c r="AV782"/>
      <c r="AW782"/>
      <c r="AX782"/>
      <c r="AY782"/>
      <c r="AZ782"/>
      <c r="BA782"/>
      <c r="BB782"/>
      <c r="BC782"/>
      <c r="BD782"/>
      <c r="BE782"/>
      <c r="BF782"/>
      <c r="BG782"/>
      <c r="BH782"/>
      <c r="BI782"/>
      <c r="BJ782"/>
      <c r="BK782"/>
      <c r="BL782"/>
      <c r="BM782"/>
      <c r="BN782"/>
      <c r="BO782"/>
      <c r="BP782"/>
      <c r="BQ782"/>
      <c r="BR782"/>
      <c r="BS782"/>
      <c r="BT782"/>
      <c r="BU782"/>
      <c r="BV782"/>
      <c r="BW782"/>
      <c r="BX782"/>
      <c r="BY782"/>
      <c r="BZ782"/>
    </row>
    <row r="783" spans="4:78" x14ac:dyDescent="0.25">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c r="AL783"/>
      <c r="AM783"/>
      <c r="AN783"/>
      <c r="AO783"/>
      <c r="AP783"/>
      <c r="AQ783"/>
      <c r="AR783"/>
      <c r="AS783"/>
      <c r="AT783"/>
      <c r="AU783"/>
      <c r="AV783"/>
      <c r="AW783"/>
      <c r="AX783"/>
      <c r="AY783"/>
      <c r="AZ783"/>
      <c r="BA783"/>
      <c r="BB783"/>
      <c r="BC783"/>
      <c r="BD783"/>
      <c r="BE783"/>
      <c r="BF783"/>
      <c r="BG783"/>
      <c r="BH783"/>
      <c r="BI783"/>
      <c r="BJ783"/>
      <c r="BK783"/>
      <c r="BL783"/>
      <c r="BM783"/>
      <c r="BN783"/>
      <c r="BO783"/>
      <c r="BP783"/>
      <c r="BQ783"/>
      <c r="BR783"/>
      <c r="BS783"/>
      <c r="BT783"/>
      <c r="BU783"/>
      <c r="BV783"/>
      <c r="BW783"/>
      <c r="BX783"/>
      <c r="BY783"/>
      <c r="BZ783"/>
    </row>
    <row r="784" spans="4:78" x14ac:dyDescent="0.25">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c r="AL784"/>
      <c r="AM784"/>
      <c r="AN784"/>
      <c r="AO784"/>
      <c r="AP784"/>
      <c r="AQ784"/>
      <c r="AR784"/>
      <c r="AS784"/>
      <c r="AT784"/>
      <c r="AU784"/>
      <c r="AV784"/>
      <c r="AW784"/>
      <c r="AX784"/>
      <c r="AY784"/>
      <c r="AZ784"/>
      <c r="BA784"/>
      <c r="BB784"/>
      <c r="BC784"/>
      <c r="BD784"/>
      <c r="BE784"/>
      <c r="BF784"/>
      <c r="BG784"/>
      <c r="BH784"/>
      <c r="BI784"/>
      <c r="BJ784"/>
      <c r="BK784"/>
      <c r="BL784"/>
      <c r="BM784"/>
      <c r="BN784"/>
      <c r="BO784"/>
      <c r="BP784"/>
      <c r="BQ784"/>
      <c r="BR784"/>
      <c r="BS784"/>
      <c r="BT784"/>
      <c r="BU784"/>
      <c r="BV784"/>
      <c r="BW784"/>
      <c r="BX784"/>
      <c r="BY784"/>
      <c r="BZ784"/>
    </row>
    <row r="785" spans="4:78" x14ac:dyDescent="0.2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c r="AL785"/>
      <c r="AM785"/>
      <c r="AN785"/>
      <c r="AO785"/>
      <c r="AP785"/>
      <c r="AQ785"/>
      <c r="AR785"/>
      <c r="AS785"/>
      <c r="AT785"/>
      <c r="AU785"/>
      <c r="AV785"/>
      <c r="AW785"/>
      <c r="AX785"/>
      <c r="AY785"/>
      <c r="AZ785"/>
      <c r="BA785"/>
      <c r="BB785"/>
      <c r="BC785"/>
      <c r="BD785"/>
      <c r="BE785"/>
      <c r="BF785"/>
      <c r="BG785"/>
      <c r="BH785"/>
      <c r="BI785"/>
      <c r="BJ785"/>
      <c r="BK785"/>
      <c r="BL785"/>
      <c r="BM785"/>
      <c r="BN785"/>
      <c r="BO785"/>
      <c r="BP785"/>
      <c r="BQ785"/>
      <c r="BR785"/>
      <c r="BS785"/>
      <c r="BT785"/>
      <c r="BU785"/>
      <c r="BV785"/>
      <c r="BW785"/>
      <c r="BX785"/>
      <c r="BY785"/>
      <c r="BZ785"/>
    </row>
    <row r="786" spans="4:78" x14ac:dyDescent="0.25">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c r="AL786"/>
      <c r="AM786"/>
      <c r="AN786"/>
      <c r="AO786"/>
      <c r="AP786"/>
      <c r="AQ786"/>
      <c r="AR786"/>
      <c r="AS786"/>
      <c r="AT786"/>
      <c r="AU786"/>
      <c r="AV786"/>
      <c r="AW786"/>
      <c r="AX786"/>
      <c r="AY786"/>
      <c r="AZ786"/>
      <c r="BA786"/>
      <c r="BB786"/>
      <c r="BC786"/>
      <c r="BD786"/>
      <c r="BE786"/>
      <c r="BF786"/>
      <c r="BG786"/>
      <c r="BH786"/>
      <c r="BI786"/>
      <c r="BJ786"/>
      <c r="BK786"/>
      <c r="BL786"/>
      <c r="BM786"/>
      <c r="BN786"/>
      <c r="BO786"/>
      <c r="BP786"/>
      <c r="BQ786"/>
      <c r="BR786"/>
      <c r="BS786"/>
      <c r="BT786"/>
      <c r="BU786"/>
      <c r="BV786"/>
      <c r="BW786"/>
      <c r="BX786"/>
      <c r="BY786"/>
      <c r="BZ786"/>
    </row>
    <row r="787" spans="4:78" x14ac:dyDescent="0.25">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c r="AL787"/>
      <c r="AM787"/>
      <c r="AN787"/>
      <c r="AO787"/>
      <c r="AP787"/>
      <c r="AQ787"/>
      <c r="AR787"/>
      <c r="AS787"/>
      <c r="AT787"/>
      <c r="AU787"/>
      <c r="AV787"/>
      <c r="AW787"/>
      <c r="AX787"/>
      <c r="AY787"/>
      <c r="AZ787"/>
      <c r="BA787"/>
      <c r="BB787"/>
      <c r="BC787"/>
      <c r="BD787"/>
      <c r="BE787"/>
      <c r="BF787"/>
      <c r="BG787"/>
      <c r="BH787"/>
      <c r="BI787"/>
      <c r="BJ787"/>
      <c r="BK787"/>
      <c r="BL787"/>
      <c r="BM787"/>
      <c r="BN787"/>
      <c r="BO787"/>
      <c r="BP787"/>
      <c r="BQ787"/>
      <c r="BR787"/>
      <c r="BS787"/>
      <c r="BT787"/>
      <c r="BU787"/>
      <c r="BV787"/>
      <c r="BW787"/>
      <c r="BX787"/>
      <c r="BY787"/>
      <c r="BZ787"/>
    </row>
    <row r="788" spans="4:78" x14ac:dyDescent="0.25">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c r="AL788"/>
      <c r="AM788"/>
      <c r="AN788"/>
      <c r="AO788"/>
      <c r="AP788"/>
      <c r="AQ788"/>
      <c r="AR788"/>
      <c r="AS788"/>
      <c r="AT788"/>
      <c r="AU788"/>
      <c r="AV788"/>
      <c r="AW788"/>
      <c r="AX788"/>
      <c r="AY788"/>
      <c r="AZ788"/>
      <c r="BA788"/>
      <c r="BB788"/>
      <c r="BC788"/>
      <c r="BD788"/>
      <c r="BE788"/>
      <c r="BF788"/>
      <c r="BG788"/>
      <c r="BH788"/>
      <c r="BI788"/>
      <c r="BJ788"/>
      <c r="BK788"/>
      <c r="BL788"/>
      <c r="BM788"/>
      <c r="BN788"/>
      <c r="BO788"/>
      <c r="BP788"/>
      <c r="BQ788"/>
      <c r="BR788"/>
      <c r="BS788"/>
      <c r="BT788"/>
      <c r="BU788"/>
      <c r="BV788"/>
      <c r="BW788"/>
      <c r="BX788"/>
      <c r="BY788"/>
      <c r="BZ788"/>
    </row>
    <row r="789" spans="4:78" x14ac:dyDescent="0.25">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c r="AL789"/>
      <c r="AM789"/>
      <c r="AN789"/>
      <c r="AO789"/>
      <c r="AP789"/>
      <c r="AQ789"/>
      <c r="AR789"/>
      <c r="AS789"/>
      <c r="AT789"/>
      <c r="AU789"/>
      <c r="AV789"/>
      <c r="AW789"/>
      <c r="AX789"/>
      <c r="AY789"/>
      <c r="AZ789"/>
      <c r="BA789"/>
      <c r="BB789"/>
      <c r="BC789"/>
      <c r="BD789"/>
      <c r="BE789"/>
      <c r="BF789"/>
      <c r="BG789"/>
      <c r="BH789"/>
      <c r="BI789"/>
      <c r="BJ789"/>
      <c r="BK789"/>
      <c r="BL789"/>
      <c r="BM789"/>
      <c r="BN789"/>
      <c r="BO789"/>
      <c r="BP789"/>
      <c r="BQ789"/>
      <c r="BR789"/>
      <c r="BS789"/>
      <c r="BT789"/>
      <c r="BU789"/>
      <c r="BV789"/>
      <c r="BW789"/>
      <c r="BX789"/>
      <c r="BY789"/>
      <c r="BZ789"/>
    </row>
    <row r="790" spans="4:78" x14ac:dyDescent="0.25">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c r="AL790"/>
      <c r="AM790"/>
      <c r="AN790"/>
      <c r="AO790"/>
      <c r="AP790"/>
      <c r="AQ790"/>
      <c r="AR790"/>
      <c r="AS790"/>
      <c r="AT790"/>
      <c r="AU790"/>
      <c r="AV790"/>
      <c r="AW790"/>
      <c r="AX790"/>
      <c r="AY790"/>
      <c r="AZ790"/>
      <c r="BA790"/>
      <c r="BB790"/>
      <c r="BC790"/>
      <c r="BD790"/>
      <c r="BE790"/>
      <c r="BF790"/>
      <c r="BG790"/>
      <c r="BH790"/>
      <c r="BI790"/>
      <c r="BJ790"/>
      <c r="BK790"/>
      <c r="BL790"/>
      <c r="BM790"/>
      <c r="BN790"/>
      <c r="BO790"/>
      <c r="BP790"/>
      <c r="BQ790"/>
      <c r="BR790"/>
      <c r="BS790"/>
      <c r="BT790"/>
      <c r="BU790"/>
      <c r="BV790"/>
      <c r="BW790"/>
      <c r="BX790"/>
      <c r="BY790"/>
      <c r="BZ790"/>
    </row>
    <row r="791" spans="4:78" x14ac:dyDescent="0.25">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c r="AL791"/>
      <c r="AM791"/>
      <c r="AN791"/>
      <c r="AO791"/>
      <c r="AP791"/>
      <c r="AQ791"/>
      <c r="AR791"/>
      <c r="AS791"/>
      <c r="AT791"/>
      <c r="AU791"/>
      <c r="AV791"/>
      <c r="AW791"/>
      <c r="AX791"/>
      <c r="AY791"/>
      <c r="AZ791"/>
      <c r="BA791"/>
      <c r="BB791"/>
      <c r="BC791"/>
      <c r="BD791"/>
      <c r="BE791"/>
      <c r="BF791"/>
      <c r="BG791"/>
      <c r="BH791"/>
      <c r="BI791"/>
      <c r="BJ791"/>
      <c r="BK791"/>
      <c r="BL791"/>
      <c r="BM791"/>
      <c r="BN791"/>
      <c r="BO791"/>
      <c r="BP791"/>
      <c r="BQ791"/>
      <c r="BR791"/>
      <c r="BS791"/>
      <c r="BT791"/>
      <c r="BU791"/>
      <c r="BV791"/>
      <c r="BW791"/>
      <c r="BX791"/>
      <c r="BY791"/>
      <c r="BZ791"/>
    </row>
    <row r="792" spans="4:78" x14ac:dyDescent="0.25">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c r="AL792"/>
      <c r="AM792"/>
      <c r="AN792"/>
      <c r="AO792"/>
      <c r="AP792"/>
      <c r="AQ792"/>
      <c r="AR792"/>
      <c r="AS792"/>
      <c r="AT792"/>
      <c r="AU792"/>
      <c r="AV792"/>
      <c r="AW792"/>
      <c r="AX792"/>
      <c r="AY792"/>
      <c r="AZ792"/>
      <c r="BA792"/>
      <c r="BB792"/>
      <c r="BC792"/>
      <c r="BD792"/>
      <c r="BE792"/>
      <c r="BF792"/>
      <c r="BG792"/>
      <c r="BH792"/>
      <c r="BI792"/>
      <c r="BJ792"/>
      <c r="BK792"/>
      <c r="BL792"/>
      <c r="BM792"/>
      <c r="BN792"/>
      <c r="BO792"/>
      <c r="BP792"/>
      <c r="BQ792"/>
      <c r="BR792"/>
      <c r="BS792"/>
      <c r="BT792"/>
      <c r="BU792"/>
      <c r="BV792"/>
      <c r="BW792"/>
      <c r="BX792"/>
      <c r="BY792"/>
      <c r="BZ792"/>
    </row>
    <row r="793" spans="4:78" x14ac:dyDescent="0.25">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c r="AL793"/>
      <c r="AM793"/>
      <c r="AN793"/>
      <c r="AO793"/>
      <c r="AP793"/>
      <c r="AQ793"/>
      <c r="AR793"/>
      <c r="AS793"/>
      <c r="AT793"/>
      <c r="AU793"/>
      <c r="AV793"/>
      <c r="AW793"/>
      <c r="AX793"/>
      <c r="AY793"/>
      <c r="AZ793"/>
      <c r="BA793"/>
      <c r="BB793"/>
      <c r="BC793"/>
      <c r="BD793"/>
      <c r="BE793"/>
      <c r="BF793"/>
      <c r="BG793"/>
      <c r="BH793"/>
      <c r="BI793"/>
      <c r="BJ793"/>
      <c r="BK793"/>
      <c r="BL793"/>
      <c r="BM793"/>
      <c r="BN793"/>
      <c r="BO793"/>
      <c r="BP793"/>
      <c r="BQ793"/>
      <c r="BR793"/>
      <c r="BS793"/>
      <c r="BT793"/>
      <c r="BU793"/>
      <c r="BV793"/>
      <c r="BW793"/>
      <c r="BX793"/>
      <c r="BY793"/>
      <c r="BZ793"/>
    </row>
    <row r="794" spans="4:78" x14ac:dyDescent="0.25">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c r="AL794"/>
      <c r="AM794"/>
      <c r="AN794"/>
      <c r="AO794"/>
      <c r="AP794"/>
      <c r="AQ794"/>
      <c r="AR794"/>
      <c r="AS794"/>
      <c r="AT794"/>
      <c r="AU794"/>
      <c r="AV794"/>
      <c r="AW794"/>
      <c r="AX794"/>
      <c r="AY794"/>
      <c r="AZ794"/>
      <c r="BA794"/>
      <c r="BB794"/>
      <c r="BC794"/>
      <c r="BD794"/>
      <c r="BE794"/>
      <c r="BF794"/>
      <c r="BG794"/>
      <c r="BH794"/>
      <c r="BI794"/>
      <c r="BJ794"/>
      <c r="BK794"/>
      <c r="BL794"/>
      <c r="BM794"/>
      <c r="BN794"/>
      <c r="BO794"/>
      <c r="BP794"/>
      <c r="BQ794"/>
      <c r="BR794"/>
      <c r="BS794"/>
      <c r="BT794"/>
      <c r="BU794"/>
      <c r="BV794"/>
      <c r="BW794"/>
      <c r="BX794"/>
      <c r="BY794"/>
      <c r="BZ794"/>
    </row>
    <row r="795" spans="4:78" x14ac:dyDescent="0.2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c r="AL795"/>
      <c r="AM795"/>
      <c r="AN795"/>
      <c r="AO795"/>
      <c r="AP795"/>
      <c r="AQ795"/>
      <c r="AR795"/>
      <c r="AS795"/>
      <c r="AT795"/>
      <c r="AU795"/>
      <c r="AV795"/>
      <c r="AW795"/>
      <c r="AX795"/>
      <c r="AY795"/>
      <c r="AZ795"/>
      <c r="BA795"/>
      <c r="BB795"/>
      <c r="BC795"/>
      <c r="BD795"/>
      <c r="BE795"/>
      <c r="BF795"/>
      <c r="BG795"/>
      <c r="BH795"/>
      <c r="BI795"/>
      <c r="BJ795"/>
      <c r="BK795"/>
      <c r="BL795"/>
      <c r="BM795"/>
      <c r="BN795"/>
      <c r="BO795"/>
      <c r="BP795"/>
      <c r="BQ795"/>
      <c r="BR795"/>
      <c r="BS795"/>
      <c r="BT795"/>
      <c r="BU795"/>
      <c r="BV795"/>
      <c r="BW795"/>
      <c r="BX795"/>
      <c r="BY795"/>
      <c r="BZ795"/>
    </row>
    <row r="796" spans="4:78" x14ac:dyDescent="0.25">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c r="AL796"/>
      <c r="AM796"/>
      <c r="AN796"/>
      <c r="AO796"/>
      <c r="AP796"/>
      <c r="AQ796"/>
      <c r="AR796"/>
      <c r="AS796"/>
      <c r="AT796"/>
      <c r="AU796"/>
      <c r="AV796"/>
      <c r="AW796"/>
      <c r="AX796"/>
      <c r="AY796"/>
      <c r="AZ796"/>
      <c r="BA796"/>
      <c r="BB796"/>
      <c r="BC796"/>
      <c r="BD796"/>
      <c r="BE796"/>
      <c r="BF796"/>
      <c r="BG796"/>
      <c r="BH796"/>
      <c r="BI796"/>
      <c r="BJ796"/>
      <c r="BK796"/>
      <c r="BL796"/>
      <c r="BM796"/>
      <c r="BN796"/>
      <c r="BO796"/>
      <c r="BP796"/>
      <c r="BQ796"/>
      <c r="BR796"/>
      <c r="BS796"/>
      <c r="BT796"/>
      <c r="BU796"/>
      <c r="BV796"/>
      <c r="BW796"/>
      <c r="BX796"/>
      <c r="BY796"/>
      <c r="BZ796"/>
    </row>
    <row r="797" spans="4:78" x14ac:dyDescent="0.25">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c r="AL797"/>
      <c r="AM797"/>
      <c r="AN797"/>
      <c r="AO797"/>
      <c r="AP797"/>
      <c r="AQ797"/>
      <c r="AR797"/>
      <c r="AS797"/>
      <c r="AT797"/>
      <c r="AU797"/>
      <c r="AV797"/>
      <c r="AW797"/>
      <c r="AX797"/>
      <c r="AY797"/>
      <c r="AZ797"/>
      <c r="BA797"/>
      <c r="BB797"/>
      <c r="BC797"/>
      <c r="BD797"/>
      <c r="BE797"/>
      <c r="BF797"/>
      <c r="BG797"/>
      <c r="BH797"/>
      <c r="BI797"/>
      <c r="BJ797"/>
      <c r="BK797"/>
      <c r="BL797"/>
      <c r="BM797"/>
      <c r="BN797"/>
      <c r="BO797"/>
      <c r="BP797"/>
      <c r="BQ797"/>
      <c r="BR797"/>
      <c r="BS797"/>
      <c r="BT797"/>
      <c r="BU797"/>
      <c r="BV797"/>
      <c r="BW797"/>
      <c r="BX797"/>
      <c r="BY797"/>
      <c r="BZ797"/>
    </row>
    <row r="798" spans="4:78" x14ac:dyDescent="0.25">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c r="AL798"/>
      <c r="AM798"/>
      <c r="AN798"/>
      <c r="AO798"/>
      <c r="AP798"/>
      <c r="AQ798"/>
      <c r="AR798"/>
      <c r="AS798"/>
      <c r="AT798"/>
      <c r="AU798"/>
      <c r="AV798"/>
      <c r="AW798"/>
      <c r="AX798"/>
      <c r="AY798"/>
      <c r="AZ798"/>
      <c r="BA798"/>
      <c r="BB798"/>
      <c r="BC798"/>
      <c r="BD798"/>
      <c r="BE798"/>
      <c r="BF798"/>
      <c r="BG798"/>
      <c r="BH798"/>
      <c r="BI798"/>
      <c r="BJ798"/>
      <c r="BK798"/>
      <c r="BL798"/>
      <c r="BM798"/>
      <c r="BN798"/>
      <c r="BO798"/>
      <c r="BP798"/>
      <c r="BQ798"/>
      <c r="BR798"/>
      <c r="BS798"/>
      <c r="BT798"/>
      <c r="BU798"/>
      <c r="BV798"/>
      <c r="BW798"/>
      <c r="BX798"/>
      <c r="BY798"/>
      <c r="BZ798"/>
    </row>
    <row r="799" spans="4:78" x14ac:dyDescent="0.25">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c r="AL799"/>
      <c r="AM799"/>
      <c r="AN799"/>
      <c r="AO799"/>
      <c r="AP799"/>
      <c r="AQ799"/>
      <c r="AR799"/>
      <c r="AS799"/>
      <c r="AT799"/>
      <c r="AU799"/>
      <c r="AV799"/>
      <c r="AW799"/>
      <c r="AX799"/>
      <c r="AY799"/>
      <c r="AZ799"/>
      <c r="BA799"/>
      <c r="BB799"/>
      <c r="BC799"/>
      <c r="BD799"/>
      <c r="BE799"/>
      <c r="BF799"/>
      <c r="BG799"/>
      <c r="BH799"/>
      <c r="BI799"/>
      <c r="BJ799"/>
      <c r="BK799"/>
      <c r="BL799"/>
      <c r="BM799"/>
      <c r="BN799"/>
      <c r="BO799"/>
      <c r="BP799"/>
      <c r="BQ799"/>
      <c r="BR799"/>
      <c r="BS799"/>
      <c r="BT799"/>
      <c r="BU799"/>
      <c r="BV799"/>
      <c r="BW799"/>
      <c r="BX799"/>
      <c r="BY799"/>
      <c r="BZ799"/>
    </row>
    <row r="800" spans="4:78" x14ac:dyDescent="0.25">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row>
    <row r="801" spans="4:78" x14ac:dyDescent="0.25">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row>
    <row r="802" spans="4:78" x14ac:dyDescent="0.25">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c r="AL802"/>
      <c r="AM802"/>
      <c r="AN802"/>
      <c r="AO802"/>
      <c r="AP802"/>
      <c r="AQ802"/>
      <c r="AR802"/>
      <c r="AS802"/>
      <c r="AT802"/>
      <c r="AU802"/>
      <c r="AV802"/>
      <c r="AW802"/>
      <c r="AX802"/>
      <c r="AY802"/>
      <c r="AZ802"/>
      <c r="BA802"/>
      <c r="BB802"/>
      <c r="BC802"/>
      <c r="BD802"/>
      <c r="BE802"/>
      <c r="BF802"/>
      <c r="BG802"/>
      <c r="BH802"/>
      <c r="BI802"/>
      <c r="BJ802"/>
      <c r="BK802"/>
      <c r="BL802"/>
      <c r="BM802"/>
      <c r="BN802"/>
      <c r="BO802"/>
      <c r="BP802"/>
      <c r="BQ802"/>
      <c r="BR802"/>
      <c r="BS802"/>
      <c r="BT802"/>
      <c r="BU802"/>
      <c r="BV802"/>
      <c r="BW802"/>
      <c r="BX802"/>
      <c r="BY802"/>
      <c r="BZ802"/>
    </row>
    <row r="803" spans="4:78" x14ac:dyDescent="0.25">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c r="AL803"/>
      <c r="AM803"/>
      <c r="AN803"/>
      <c r="AO803"/>
      <c r="AP803"/>
      <c r="AQ803"/>
      <c r="AR803"/>
      <c r="AS803"/>
      <c r="AT803"/>
      <c r="AU803"/>
      <c r="AV803"/>
      <c r="AW803"/>
      <c r="AX803"/>
      <c r="AY803"/>
      <c r="AZ803"/>
      <c r="BA803"/>
      <c r="BB803"/>
      <c r="BC803"/>
      <c r="BD803"/>
      <c r="BE803"/>
      <c r="BF803"/>
      <c r="BG803"/>
      <c r="BH803"/>
      <c r="BI803"/>
      <c r="BJ803"/>
      <c r="BK803"/>
      <c r="BL803"/>
      <c r="BM803"/>
      <c r="BN803"/>
      <c r="BO803"/>
      <c r="BP803"/>
      <c r="BQ803"/>
      <c r="BR803"/>
      <c r="BS803"/>
      <c r="BT803"/>
      <c r="BU803"/>
      <c r="BV803"/>
      <c r="BW803"/>
      <c r="BX803"/>
      <c r="BY803"/>
      <c r="BZ803"/>
    </row>
    <row r="804" spans="4:78" x14ac:dyDescent="0.25">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c r="AL804"/>
      <c r="AM804"/>
      <c r="AN804"/>
      <c r="AO804"/>
      <c r="AP804"/>
      <c r="AQ804"/>
      <c r="AR804"/>
      <c r="AS804"/>
      <c r="AT804"/>
      <c r="AU804"/>
      <c r="AV804"/>
      <c r="AW804"/>
      <c r="AX804"/>
      <c r="AY804"/>
      <c r="AZ804"/>
      <c r="BA804"/>
      <c r="BB804"/>
      <c r="BC804"/>
      <c r="BD804"/>
      <c r="BE804"/>
      <c r="BF804"/>
      <c r="BG804"/>
      <c r="BH804"/>
      <c r="BI804"/>
      <c r="BJ804"/>
      <c r="BK804"/>
      <c r="BL804"/>
      <c r="BM804"/>
      <c r="BN804"/>
      <c r="BO804"/>
      <c r="BP804"/>
      <c r="BQ804"/>
      <c r="BR804"/>
      <c r="BS804"/>
      <c r="BT804"/>
      <c r="BU804"/>
      <c r="BV804"/>
      <c r="BW804"/>
      <c r="BX804"/>
      <c r="BY804"/>
      <c r="BZ804"/>
    </row>
    <row r="805" spans="4:78" x14ac:dyDescent="0.2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c r="AL805"/>
      <c r="AM805"/>
      <c r="AN805"/>
      <c r="AO805"/>
      <c r="AP805"/>
      <c r="AQ805"/>
      <c r="AR805"/>
      <c r="AS805"/>
      <c r="AT805"/>
      <c r="AU805"/>
      <c r="AV805"/>
      <c r="AW805"/>
      <c r="AX805"/>
      <c r="AY805"/>
      <c r="AZ805"/>
      <c r="BA805"/>
      <c r="BB805"/>
      <c r="BC805"/>
      <c r="BD805"/>
      <c r="BE805"/>
      <c r="BF805"/>
      <c r="BG805"/>
      <c r="BH805"/>
      <c r="BI805"/>
      <c r="BJ805"/>
      <c r="BK805"/>
      <c r="BL805"/>
      <c r="BM805"/>
      <c r="BN805"/>
      <c r="BO805"/>
      <c r="BP805"/>
      <c r="BQ805"/>
      <c r="BR805"/>
      <c r="BS805"/>
      <c r="BT805"/>
      <c r="BU805"/>
      <c r="BV805"/>
      <c r="BW805"/>
      <c r="BX805"/>
      <c r="BY805"/>
      <c r="BZ805"/>
    </row>
    <row r="806" spans="4:78" x14ac:dyDescent="0.25">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c r="AL806"/>
      <c r="AM806"/>
      <c r="AN806"/>
      <c r="AO806"/>
      <c r="AP806"/>
      <c r="AQ806"/>
      <c r="AR806"/>
      <c r="AS806"/>
      <c r="AT806"/>
      <c r="AU806"/>
      <c r="AV806"/>
      <c r="AW806"/>
      <c r="AX806"/>
      <c r="AY806"/>
      <c r="AZ806"/>
      <c r="BA806"/>
      <c r="BB806"/>
      <c r="BC806"/>
      <c r="BD806"/>
      <c r="BE806"/>
      <c r="BF806"/>
      <c r="BG806"/>
      <c r="BH806"/>
      <c r="BI806"/>
      <c r="BJ806"/>
      <c r="BK806"/>
      <c r="BL806"/>
      <c r="BM806"/>
      <c r="BN806"/>
      <c r="BO806"/>
      <c r="BP806"/>
      <c r="BQ806"/>
      <c r="BR806"/>
      <c r="BS806"/>
      <c r="BT806"/>
      <c r="BU806"/>
      <c r="BV806"/>
      <c r="BW806"/>
      <c r="BX806"/>
      <c r="BY806"/>
      <c r="BZ806"/>
    </row>
    <row r="807" spans="4:78" x14ac:dyDescent="0.25">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c r="AL807"/>
      <c r="AM807"/>
      <c r="AN807"/>
      <c r="AO807"/>
      <c r="AP807"/>
      <c r="AQ807"/>
      <c r="AR807"/>
      <c r="AS807"/>
      <c r="AT807"/>
      <c r="AU807"/>
      <c r="AV807"/>
      <c r="AW807"/>
      <c r="AX807"/>
      <c r="AY807"/>
      <c r="AZ807"/>
      <c r="BA807"/>
      <c r="BB807"/>
      <c r="BC807"/>
      <c r="BD807"/>
      <c r="BE807"/>
      <c r="BF807"/>
      <c r="BG807"/>
      <c r="BH807"/>
      <c r="BI807"/>
      <c r="BJ807"/>
      <c r="BK807"/>
      <c r="BL807"/>
      <c r="BM807"/>
      <c r="BN807"/>
      <c r="BO807"/>
      <c r="BP807"/>
      <c r="BQ807"/>
      <c r="BR807"/>
      <c r="BS807"/>
      <c r="BT807"/>
      <c r="BU807"/>
      <c r="BV807"/>
      <c r="BW807"/>
      <c r="BX807"/>
      <c r="BY807"/>
      <c r="BZ807"/>
    </row>
    <row r="808" spans="4:78" x14ac:dyDescent="0.25">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c r="AL808"/>
      <c r="AM808"/>
      <c r="AN808"/>
      <c r="AO808"/>
      <c r="AP808"/>
      <c r="AQ808"/>
      <c r="AR808"/>
      <c r="AS808"/>
      <c r="AT808"/>
      <c r="AU808"/>
      <c r="AV808"/>
      <c r="AW808"/>
      <c r="AX808"/>
      <c r="AY808"/>
      <c r="AZ808"/>
      <c r="BA808"/>
      <c r="BB808"/>
      <c r="BC808"/>
      <c r="BD808"/>
      <c r="BE808"/>
      <c r="BF808"/>
      <c r="BG808"/>
      <c r="BH808"/>
      <c r="BI808"/>
      <c r="BJ808"/>
      <c r="BK808"/>
      <c r="BL808"/>
      <c r="BM808"/>
      <c r="BN808"/>
      <c r="BO808"/>
      <c r="BP808"/>
      <c r="BQ808"/>
      <c r="BR808"/>
      <c r="BS808"/>
      <c r="BT808"/>
      <c r="BU808"/>
      <c r="BV808"/>
      <c r="BW808"/>
      <c r="BX808"/>
      <c r="BY808"/>
      <c r="BZ808"/>
    </row>
    <row r="809" spans="4:78" x14ac:dyDescent="0.25">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c r="AL809"/>
      <c r="AM809"/>
      <c r="AN809"/>
      <c r="AO809"/>
      <c r="AP809"/>
      <c r="AQ809"/>
      <c r="AR809"/>
      <c r="AS809"/>
      <c r="AT809"/>
      <c r="AU809"/>
      <c r="AV809"/>
      <c r="AW809"/>
      <c r="AX809"/>
      <c r="AY809"/>
      <c r="AZ809"/>
      <c r="BA809"/>
      <c r="BB809"/>
      <c r="BC809"/>
      <c r="BD809"/>
      <c r="BE809"/>
      <c r="BF809"/>
      <c r="BG809"/>
      <c r="BH809"/>
      <c r="BI809"/>
      <c r="BJ809"/>
      <c r="BK809"/>
      <c r="BL809"/>
      <c r="BM809"/>
      <c r="BN809"/>
      <c r="BO809"/>
      <c r="BP809"/>
      <c r="BQ809"/>
      <c r="BR809"/>
      <c r="BS809"/>
      <c r="BT809"/>
      <c r="BU809"/>
      <c r="BV809"/>
      <c r="BW809"/>
      <c r="BX809"/>
      <c r="BY809"/>
      <c r="BZ809"/>
    </row>
    <row r="810" spans="4:78" x14ac:dyDescent="0.25">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c r="AL810"/>
      <c r="AM810"/>
      <c r="AN810"/>
      <c r="AO810"/>
      <c r="AP810"/>
      <c r="AQ810"/>
      <c r="AR810"/>
      <c r="AS810"/>
      <c r="AT810"/>
      <c r="AU810"/>
      <c r="AV810"/>
      <c r="AW810"/>
      <c r="AX810"/>
      <c r="AY810"/>
      <c r="AZ810"/>
      <c r="BA810"/>
      <c r="BB810"/>
      <c r="BC810"/>
      <c r="BD810"/>
      <c r="BE810"/>
      <c r="BF810"/>
      <c r="BG810"/>
      <c r="BH810"/>
      <c r="BI810"/>
      <c r="BJ810"/>
      <c r="BK810"/>
      <c r="BL810"/>
      <c r="BM810"/>
      <c r="BN810"/>
      <c r="BO810"/>
      <c r="BP810"/>
      <c r="BQ810"/>
      <c r="BR810"/>
      <c r="BS810"/>
      <c r="BT810"/>
      <c r="BU810"/>
      <c r="BV810"/>
      <c r="BW810"/>
      <c r="BX810"/>
      <c r="BY810"/>
      <c r="BZ810"/>
    </row>
    <row r="811" spans="4:78" x14ac:dyDescent="0.25">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c r="AL811"/>
      <c r="AM811"/>
      <c r="AN811"/>
      <c r="AO811"/>
      <c r="AP811"/>
      <c r="AQ811"/>
      <c r="AR811"/>
      <c r="AS811"/>
      <c r="AT811"/>
      <c r="AU811"/>
      <c r="AV811"/>
      <c r="AW811"/>
      <c r="AX811"/>
      <c r="AY811"/>
      <c r="AZ811"/>
      <c r="BA811"/>
      <c r="BB811"/>
      <c r="BC811"/>
      <c r="BD811"/>
      <c r="BE811"/>
      <c r="BF811"/>
      <c r="BG811"/>
      <c r="BH811"/>
      <c r="BI811"/>
      <c r="BJ811"/>
      <c r="BK811"/>
      <c r="BL811"/>
      <c r="BM811"/>
      <c r="BN811"/>
      <c r="BO811"/>
      <c r="BP811"/>
      <c r="BQ811"/>
      <c r="BR811"/>
      <c r="BS811"/>
      <c r="BT811"/>
      <c r="BU811"/>
      <c r="BV811"/>
      <c r="BW811"/>
      <c r="BX811"/>
      <c r="BY811"/>
      <c r="BZ811"/>
    </row>
    <row r="812" spans="4:78" x14ac:dyDescent="0.25">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c r="AL812"/>
      <c r="AM812"/>
      <c r="AN812"/>
      <c r="AO812"/>
      <c r="AP812"/>
      <c r="AQ812"/>
      <c r="AR812"/>
      <c r="AS812"/>
      <c r="AT812"/>
      <c r="AU812"/>
      <c r="AV812"/>
      <c r="AW812"/>
      <c r="AX812"/>
      <c r="AY812"/>
      <c r="AZ812"/>
      <c r="BA812"/>
      <c r="BB812"/>
      <c r="BC812"/>
      <c r="BD812"/>
      <c r="BE812"/>
      <c r="BF812"/>
      <c r="BG812"/>
      <c r="BH812"/>
      <c r="BI812"/>
      <c r="BJ812"/>
      <c r="BK812"/>
      <c r="BL812"/>
      <c r="BM812"/>
      <c r="BN812"/>
      <c r="BO812"/>
      <c r="BP812"/>
      <c r="BQ812"/>
      <c r="BR812"/>
      <c r="BS812"/>
      <c r="BT812"/>
      <c r="BU812"/>
      <c r="BV812"/>
      <c r="BW812"/>
      <c r="BX812"/>
      <c r="BY812"/>
      <c r="BZ812"/>
    </row>
    <row r="813" spans="4:78" x14ac:dyDescent="0.25">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c r="AL813"/>
      <c r="AM813"/>
      <c r="AN813"/>
      <c r="AO813"/>
      <c r="AP813"/>
      <c r="AQ813"/>
      <c r="AR813"/>
      <c r="AS813"/>
      <c r="AT813"/>
      <c r="AU813"/>
      <c r="AV813"/>
      <c r="AW813"/>
      <c r="AX813"/>
      <c r="AY813"/>
      <c r="AZ813"/>
      <c r="BA813"/>
      <c r="BB813"/>
      <c r="BC813"/>
      <c r="BD813"/>
      <c r="BE813"/>
      <c r="BF813"/>
      <c r="BG813"/>
      <c r="BH813"/>
      <c r="BI813"/>
      <c r="BJ813"/>
      <c r="BK813"/>
      <c r="BL813"/>
      <c r="BM813"/>
      <c r="BN813"/>
      <c r="BO813"/>
      <c r="BP813"/>
      <c r="BQ813"/>
      <c r="BR813"/>
      <c r="BS813"/>
      <c r="BT813"/>
      <c r="BU813"/>
      <c r="BV813"/>
      <c r="BW813"/>
      <c r="BX813"/>
      <c r="BY813"/>
      <c r="BZ813"/>
    </row>
    <row r="814" spans="4:78" x14ac:dyDescent="0.25">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c r="AL814"/>
      <c r="AM814"/>
      <c r="AN814"/>
      <c r="AO814"/>
      <c r="AP814"/>
      <c r="AQ814"/>
      <c r="AR814"/>
      <c r="AS814"/>
      <c r="AT814"/>
      <c r="AU814"/>
      <c r="AV814"/>
      <c r="AW814"/>
      <c r="AX814"/>
      <c r="AY814"/>
      <c r="AZ814"/>
      <c r="BA814"/>
      <c r="BB814"/>
      <c r="BC814"/>
      <c r="BD814"/>
      <c r="BE814"/>
      <c r="BF814"/>
      <c r="BG814"/>
      <c r="BH814"/>
      <c r="BI814"/>
      <c r="BJ814"/>
      <c r="BK814"/>
      <c r="BL814"/>
      <c r="BM814"/>
      <c r="BN814"/>
      <c r="BO814"/>
      <c r="BP814"/>
      <c r="BQ814"/>
      <c r="BR814"/>
      <c r="BS814"/>
      <c r="BT814"/>
      <c r="BU814"/>
      <c r="BV814"/>
      <c r="BW814"/>
      <c r="BX814"/>
      <c r="BY814"/>
      <c r="BZ814"/>
    </row>
    <row r="815" spans="4:78" x14ac:dyDescent="0.2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c r="AL815"/>
      <c r="AM815"/>
      <c r="AN815"/>
      <c r="AO815"/>
      <c r="AP815"/>
      <c r="AQ815"/>
      <c r="AR815"/>
      <c r="AS815"/>
      <c r="AT815"/>
      <c r="AU815"/>
      <c r="AV815"/>
      <c r="AW815"/>
      <c r="AX815"/>
      <c r="AY815"/>
      <c r="AZ815"/>
      <c r="BA815"/>
      <c r="BB815"/>
      <c r="BC815"/>
      <c r="BD815"/>
      <c r="BE815"/>
      <c r="BF815"/>
      <c r="BG815"/>
      <c r="BH815"/>
      <c r="BI815"/>
      <c r="BJ815"/>
      <c r="BK815"/>
      <c r="BL815"/>
      <c r="BM815"/>
      <c r="BN815"/>
      <c r="BO815"/>
      <c r="BP815"/>
      <c r="BQ815"/>
      <c r="BR815"/>
      <c r="BS815"/>
      <c r="BT815"/>
      <c r="BU815"/>
      <c r="BV815"/>
      <c r="BW815"/>
      <c r="BX815"/>
      <c r="BY815"/>
      <c r="BZ815"/>
    </row>
    <row r="816" spans="4:78" x14ac:dyDescent="0.25">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c r="AL816"/>
      <c r="AM816"/>
      <c r="AN816"/>
      <c r="AO816"/>
      <c r="AP816"/>
      <c r="AQ816"/>
      <c r="AR816"/>
      <c r="AS816"/>
      <c r="AT816"/>
      <c r="AU816"/>
      <c r="AV816"/>
      <c r="AW816"/>
      <c r="AX816"/>
      <c r="AY816"/>
      <c r="AZ816"/>
      <c r="BA816"/>
      <c r="BB816"/>
      <c r="BC816"/>
      <c r="BD816"/>
      <c r="BE816"/>
      <c r="BF816"/>
      <c r="BG816"/>
      <c r="BH816"/>
      <c r="BI816"/>
      <c r="BJ816"/>
      <c r="BK816"/>
      <c r="BL816"/>
      <c r="BM816"/>
      <c r="BN816"/>
      <c r="BO816"/>
      <c r="BP816"/>
      <c r="BQ816"/>
      <c r="BR816"/>
      <c r="BS816"/>
      <c r="BT816"/>
      <c r="BU816"/>
      <c r="BV816"/>
      <c r="BW816"/>
      <c r="BX816"/>
      <c r="BY816"/>
      <c r="BZ816"/>
    </row>
    <row r="817" spans="4:78" x14ac:dyDescent="0.25">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c r="AN817"/>
      <c r="AO817"/>
      <c r="AP817"/>
      <c r="AQ817"/>
      <c r="AR817"/>
      <c r="AS817"/>
      <c r="AT817"/>
      <c r="AU817"/>
      <c r="AV817"/>
      <c r="AW817"/>
      <c r="AX817"/>
      <c r="AY817"/>
      <c r="AZ817"/>
      <c r="BA817"/>
      <c r="BB817"/>
      <c r="BC817"/>
      <c r="BD817"/>
      <c r="BE817"/>
      <c r="BF817"/>
      <c r="BG817"/>
      <c r="BH817"/>
      <c r="BI817"/>
      <c r="BJ817"/>
      <c r="BK817"/>
      <c r="BL817"/>
      <c r="BM817"/>
      <c r="BN817"/>
      <c r="BO817"/>
      <c r="BP817"/>
      <c r="BQ817"/>
      <c r="BR817"/>
      <c r="BS817"/>
      <c r="BT817"/>
      <c r="BU817"/>
      <c r="BV817"/>
      <c r="BW817"/>
      <c r="BX817"/>
      <c r="BY817"/>
      <c r="BZ817"/>
    </row>
    <row r="818" spans="4:78" x14ac:dyDescent="0.25">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c r="AN818"/>
      <c r="AO818"/>
      <c r="AP818"/>
      <c r="AQ818"/>
      <c r="AR818"/>
      <c r="AS818"/>
      <c r="AT818"/>
      <c r="AU818"/>
      <c r="AV818"/>
      <c r="AW818"/>
      <c r="AX818"/>
      <c r="AY818"/>
      <c r="AZ818"/>
      <c r="BA818"/>
      <c r="BB818"/>
      <c r="BC818"/>
      <c r="BD818"/>
      <c r="BE818"/>
      <c r="BF818"/>
      <c r="BG818"/>
      <c r="BH818"/>
      <c r="BI818"/>
      <c r="BJ818"/>
      <c r="BK818"/>
      <c r="BL818"/>
      <c r="BM818"/>
      <c r="BN818"/>
      <c r="BO818"/>
      <c r="BP818"/>
      <c r="BQ818"/>
      <c r="BR818"/>
      <c r="BS818"/>
      <c r="BT818"/>
      <c r="BU818"/>
      <c r="BV818"/>
      <c r="BW818"/>
      <c r="BX818"/>
      <c r="BY818"/>
      <c r="BZ818"/>
    </row>
    <row r="819" spans="4:78" x14ac:dyDescent="0.25">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c r="AL819"/>
      <c r="AM819"/>
      <c r="AN819"/>
      <c r="AO819"/>
      <c r="AP819"/>
      <c r="AQ819"/>
      <c r="AR819"/>
      <c r="AS819"/>
      <c r="AT819"/>
      <c r="AU819"/>
      <c r="AV819"/>
      <c r="AW819"/>
      <c r="AX819"/>
      <c r="AY819"/>
      <c r="AZ819"/>
      <c r="BA819"/>
      <c r="BB819"/>
      <c r="BC819"/>
      <c r="BD819"/>
      <c r="BE819"/>
      <c r="BF819"/>
      <c r="BG819"/>
      <c r="BH819"/>
      <c r="BI819"/>
      <c r="BJ819"/>
      <c r="BK819"/>
      <c r="BL819"/>
      <c r="BM819"/>
      <c r="BN819"/>
      <c r="BO819"/>
      <c r="BP819"/>
      <c r="BQ819"/>
      <c r="BR819"/>
      <c r="BS819"/>
      <c r="BT819"/>
      <c r="BU819"/>
      <c r="BV819"/>
      <c r="BW819"/>
      <c r="BX819"/>
      <c r="BY819"/>
      <c r="BZ819"/>
    </row>
    <row r="820" spans="4:78" x14ac:dyDescent="0.25">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c r="AL820"/>
      <c r="AM820"/>
      <c r="AN820"/>
      <c r="AO820"/>
      <c r="AP820"/>
      <c r="AQ820"/>
      <c r="AR820"/>
      <c r="AS820"/>
      <c r="AT820"/>
      <c r="AU820"/>
      <c r="AV820"/>
      <c r="AW820"/>
      <c r="AX820"/>
      <c r="AY820"/>
      <c r="AZ820"/>
      <c r="BA820"/>
      <c r="BB820"/>
      <c r="BC820"/>
      <c r="BD820"/>
      <c r="BE820"/>
      <c r="BF820"/>
      <c r="BG820"/>
      <c r="BH820"/>
      <c r="BI820"/>
      <c r="BJ820"/>
      <c r="BK820"/>
      <c r="BL820"/>
      <c r="BM820"/>
      <c r="BN820"/>
      <c r="BO820"/>
      <c r="BP820"/>
      <c r="BQ820"/>
      <c r="BR820"/>
      <c r="BS820"/>
      <c r="BT820"/>
      <c r="BU820"/>
      <c r="BV820"/>
      <c r="BW820"/>
      <c r="BX820"/>
      <c r="BY820"/>
      <c r="BZ820"/>
    </row>
    <row r="821" spans="4:78" x14ac:dyDescent="0.25">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c r="AZ821"/>
      <c r="BA821"/>
      <c r="BB821"/>
      <c r="BC821"/>
      <c r="BD821"/>
      <c r="BE821"/>
      <c r="BF821"/>
      <c r="BG821"/>
      <c r="BH821"/>
      <c r="BI821"/>
      <c r="BJ821"/>
      <c r="BK821"/>
      <c r="BL821"/>
      <c r="BM821"/>
      <c r="BN821"/>
      <c r="BO821"/>
      <c r="BP821"/>
      <c r="BQ821"/>
      <c r="BR821"/>
      <c r="BS821"/>
      <c r="BT821"/>
      <c r="BU821"/>
      <c r="BV821"/>
      <c r="BW821"/>
      <c r="BX821"/>
      <c r="BY821"/>
      <c r="BZ821"/>
    </row>
    <row r="822" spans="4:78" x14ac:dyDescent="0.25">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c r="AL822"/>
      <c r="AM822"/>
      <c r="AN822"/>
      <c r="AO822"/>
      <c r="AP822"/>
      <c r="AQ822"/>
      <c r="AR822"/>
      <c r="AS822"/>
      <c r="AT822"/>
      <c r="AU822"/>
      <c r="AV822"/>
      <c r="AW822"/>
      <c r="AX822"/>
      <c r="AY822"/>
      <c r="AZ822"/>
      <c r="BA822"/>
      <c r="BB822"/>
      <c r="BC822"/>
      <c r="BD822"/>
      <c r="BE822"/>
      <c r="BF822"/>
      <c r="BG822"/>
      <c r="BH822"/>
      <c r="BI822"/>
      <c r="BJ822"/>
      <c r="BK822"/>
      <c r="BL822"/>
      <c r="BM822"/>
      <c r="BN822"/>
      <c r="BO822"/>
      <c r="BP822"/>
      <c r="BQ822"/>
      <c r="BR822"/>
      <c r="BS822"/>
      <c r="BT822"/>
      <c r="BU822"/>
      <c r="BV822"/>
      <c r="BW822"/>
      <c r="BX822"/>
      <c r="BY822"/>
      <c r="BZ822"/>
    </row>
    <row r="823" spans="4:78" x14ac:dyDescent="0.25">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c r="AL823"/>
      <c r="AM823"/>
      <c r="AN823"/>
      <c r="AO823"/>
      <c r="AP823"/>
      <c r="AQ823"/>
      <c r="AR823"/>
      <c r="AS823"/>
      <c r="AT823"/>
      <c r="AU823"/>
      <c r="AV823"/>
      <c r="AW823"/>
      <c r="AX823"/>
      <c r="AY823"/>
      <c r="AZ823"/>
      <c r="BA823"/>
      <c r="BB823"/>
      <c r="BC823"/>
      <c r="BD823"/>
      <c r="BE823"/>
      <c r="BF823"/>
      <c r="BG823"/>
      <c r="BH823"/>
      <c r="BI823"/>
      <c r="BJ823"/>
      <c r="BK823"/>
      <c r="BL823"/>
      <c r="BM823"/>
      <c r="BN823"/>
      <c r="BO823"/>
      <c r="BP823"/>
      <c r="BQ823"/>
      <c r="BR823"/>
      <c r="BS823"/>
      <c r="BT823"/>
      <c r="BU823"/>
      <c r="BV823"/>
      <c r="BW823"/>
      <c r="BX823"/>
      <c r="BY823"/>
      <c r="BZ823"/>
    </row>
    <row r="824" spans="4:78" x14ac:dyDescent="0.25">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c r="AL824"/>
      <c r="AM824"/>
      <c r="AN824"/>
      <c r="AO824"/>
      <c r="AP824"/>
      <c r="AQ824"/>
      <c r="AR824"/>
      <c r="AS824"/>
      <c r="AT824"/>
      <c r="AU824"/>
      <c r="AV824"/>
      <c r="AW824"/>
      <c r="AX824"/>
      <c r="AY824"/>
      <c r="AZ824"/>
      <c r="BA824"/>
      <c r="BB824"/>
      <c r="BC824"/>
      <c r="BD824"/>
      <c r="BE824"/>
      <c r="BF824"/>
      <c r="BG824"/>
      <c r="BH824"/>
      <c r="BI824"/>
      <c r="BJ824"/>
      <c r="BK824"/>
      <c r="BL824"/>
      <c r="BM824"/>
      <c r="BN824"/>
      <c r="BO824"/>
      <c r="BP824"/>
      <c r="BQ824"/>
      <c r="BR824"/>
      <c r="BS824"/>
      <c r="BT824"/>
      <c r="BU824"/>
      <c r="BV824"/>
      <c r="BW824"/>
      <c r="BX824"/>
      <c r="BY824"/>
      <c r="BZ824"/>
    </row>
    <row r="825" spans="4:78" x14ac:dyDescent="0.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c r="AL825"/>
      <c r="AM825"/>
      <c r="AN825"/>
      <c r="AO825"/>
      <c r="AP825"/>
      <c r="AQ825"/>
      <c r="AR825"/>
      <c r="AS825"/>
      <c r="AT825"/>
      <c r="AU825"/>
      <c r="AV825"/>
      <c r="AW825"/>
      <c r="AX825"/>
      <c r="AY825"/>
      <c r="AZ825"/>
      <c r="BA825"/>
      <c r="BB825"/>
      <c r="BC825"/>
      <c r="BD825"/>
      <c r="BE825"/>
      <c r="BF825"/>
      <c r="BG825"/>
      <c r="BH825"/>
      <c r="BI825"/>
      <c r="BJ825"/>
      <c r="BK825"/>
      <c r="BL825"/>
      <c r="BM825"/>
      <c r="BN825"/>
      <c r="BO825"/>
      <c r="BP825"/>
      <c r="BQ825"/>
      <c r="BR825"/>
      <c r="BS825"/>
      <c r="BT825"/>
      <c r="BU825"/>
      <c r="BV825"/>
      <c r="BW825"/>
      <c r="BX825"/>
      <c r="BY825"/>
      <c r="BZ825"/>
    </row>
    <row r="826" spans="4:78" x14ac:dyDescent="0.25">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row>
    <row r="827" spans="4:78" x14ac:dyDescent="0.25">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c r="AL827"/>
      <c r="AM827"/>
      <c r="AN827"/>
      <c r="AO827"/>
      <c r="AP827"/>
      <c r="AQ827"/>
      <c r="AR827"/>
      <c r="AS827"/>
      <c r="AT827"/>
      <c r="AU827"/>
      <c r="AV827"/>
      <c r="AW827"/>
      <c r="AX827"/>
      <c r="AY827"/>
      <c r="AZ827"/>
      <c r="BA827"/>
      <c r="BB827"/>
      <c r="BC827"/>
      <c r="BD827"/>
      <c r="BE827"/>
      <c r="BF827"/>
      <c r="BG827"/>
      <c r="BH827"/>
      <c r="BI827"/>
      <c r="BJ827"/>
      <c r="BK827"/>
      <c r="BL827"/>
      <c r="BM827"/>
      <c r="BN827"/>
      <c r="BO827"/>
      <c r="BP827"/>
      <c r="BQ827"/>
      <c r="BR827"/>
      <c r="BS827"/>
      <c r="BT827"/>
      <c r="BU827"/>
      <c r="BV827"/>
      <c r="BW827"/>
      <c r="BX827"/>
      <c r="BY827"/>
      <c r="BZ827"/>
    </row>
    <row r="828" spans="4:78" x14ac:dyDescent="0.25">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c r="AL828"/>
      <c r="AM828"/>
      <c r="AN828"/>
      <c r="AO828"/>
      <c r="AP828"/>
      <c r="AQ828"/>
      <c r="AR828"/>
      <c r="AS828"/>
      <c r="AT828"/>
      <c r="AU828"/>
      <c r="AV828"/>
      <c r="AW828"/>
      <c r="AX828"/>
      <c r="AY828"/>
      <c r="AZ828"/>
      <c r="BA828"/>
      <c r="BB828"/>
      <c r="BC828"/>
      <c r="BD828"/>
      <c r="BE828"/>
      <c r="BF828"/>
      <c r="BG828"/>
      <c r="BH828"/>
      <c r="BI828"/>
      <c r="BJ828"/>
      <c r="BK828"/>
      <c r="BL828"/>
      <c r="BM828"/>
      <c r="BN828"/>
      <c r="BO828"/>
      <c r="BP828"/>
      <c r="BQ828"/>
      <c r="BR828"/>
      <c r="BS828"/>
      <c r="BT828"/>
      <c r="BU828"/>
      <c r="BV828"/>
      <c r="BW828"/>
      <c r="BX828"/>
      <c r="BY828"/>
      <c r="BZ828"/>
    </row>
    <row r="829" spans="4:78" x14ac:dyDescent="0.25">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c r="AL829"/>
      <c r="AM829"/>
      <c r="AN829"/>
      <c r="AO829"/>
      <c r="AP829"/>
      <c r="AQ829"/>
      <c r="AR829"/>
      <c r="AS829"/>
      <c r="AT829"/>
      <c r="AU829"/>
      <c r="AV829"/>
      <c r="AW829"/>
      <c r="AX829"/>
      <c r="AY829"/>
      <c r="AZ829"/>
      <c r="BA829"/>
      <c r="BB829"/>
      <c r="BC829"/>
      <c r="BD829"/>
      <c r="BE829"/>
      <c r="BF829"/>
      <c r="BG829"/>
      <c r="BH829"/>
      <c r="BI829"/>
      <c r="BJ829"/>
      <c r="BK829"/>
      <c r="BL829"/>
      <c r="BM829"/>
      <c r="BN829"/>
      <c r="BO829"/>
      <c r="BP829"/>
      <c r="BQ829"/>
      <c r="BR829"/>
      <c r="BS829"/>
      <c r="BT829"/>
      <c r="BU829"/>
      <c r="BV829"/>
      <c r="BW829"/>
      <c r="BX829"/>
      <c r="BY829"/>
      <c r="BZ829"/>
    </row>
    <row r="830" spans="4:78" x14ac:dyDescent="0.25">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c r="AL830"/>
      <c r="AM830"/>
      <c r="AN830"/>
      <c r="AO830"/>
      <c r="AP830"/>
      <c r="AQ830"/>
      <c r="AR830"/>
      <c r="AS830"/>
      <c r="AT830"/>
      <c r="AU830"/>
      <c r="AV830"/>
      <c r="AW830"/>
      <c r="AX830"/>
      <c r="AY830"/>
      <c r="AZ830"/>
      <c r="BA830"/>
      <c r="BB830"/>
      <c r="BC830"/>
      <c r="BD830"/>
      <c r="BE830"/>
      <c r="BF830"/>
      <c r="BG830"/>
      <c r="BH830"/>
      <c r="BI830"/>
      <c r="BJ830"/>
      <c r="BK830"/>
      <c r="BL830"/>
      <c r="BM830"/>
      <c r="BN830"/>
      <c r="BO830"/>
      <c r="BP830"/>
      <c r="BQ830"/>
      <c r="BR830"/>
      <c r="BS830"/>
      <c r="BT830"/>
      <c r="BU830"/>
      <c r="BV830"/>
      <c r="BW830"/>
      <c r="BX830"/>
      <c r="BY830"/>
      <c r="BZ830"/>
    </row>
    <row r="831" spans="4:78" x14ac:dyDescent="0.25">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c r="AL831"/>
      <c r="AM831"/>
      <c r="AN831"/>
      <c r="AO831"/>
      <c r="AP831"/>
      <c r="AQ831"/>
      <c r="AR831"/>
      <c r="AS831"/>
      <c r="AT831"/>
      <c r="AU831"/>
      <c r="AV831"/>
      <c r="AW831"/>
      <c r="AX831"/>
      <c r="AY831"/>
      <c r="AZ831"/>
      <c r="BA831"/>
      <c r="BB831"/>
      <c r="BC831"/>
      <c r="BD831"/>
      <c r="BE831"/>
      <c r="BF831"/>
      <c r="BG831"/>
      <c r="BH831"/>
      <c r="BI831"/>
      <c r="BJ831"/>
      <c r="BK831"/>
      <c r="BL831"/>
      <c r="BM831"/>
      <c r="BN831"/>
      <c r="BO831"/>
      <c r="BP831"/>
      <c r="BQ831"/>
      <c r="BR831"/>
      <c r="BS831"/>
      <c r="BT831"/>
      <c r="BU831"/>
      <c r="BV831"/>
      <c r="BW831"/>
      <c r="BX831"/>
      <c r="BY831"/>
      <c r="BZ831"/>
    </row>
    <row r="832" spans="4:78" x14ac:dyDescent="0.25">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c r="AL832"/>
      <c r="AM832"/>
      <c r="AN832"/>
      <c r="AO832"/>
      <c r="AP832"/>
      <c r="AQ832"/>
      <c r="AR832"/>
      <c r="AS832"/>
      <c r="AT832"/>
      <c r="AU832"/>
      <c r="AV832"/>
      <c r="AW832"/>
      <c r="AX832"/>
      <c r="AY832"/>
      <c r="AZ832"/>
      <c r="BA832"/>
      <c r="BB832"/>
      <c r="BC832"/>
      <c r="BD832"/>
      <c r="BE832"/>
      <c r="BF832"/>
      <c r="BG832"/>
      <c r="BH832"/>
      <c r="BI832"/>
      <c r="BJ832"/>
      <c r="BK832"/>
      <c r="BL832"/>
      <c r="BM832"/>
      <c r="BN832"/>
      <c r="BO832"/>
      <c r="BP832"/>
      <c r="BQ832"/>
      <c r="BR832"/>
      <c r="BS832"/>
      <c r="BT832"/>
      <c r="BU832"/>
      <c r="BV832"/>
      <c r="BW832"/>
      <c r="BX832"/>
      <c r="BY832"/>
      <c r="BZ832"/>
    </row>
    <row r="833" spans="4:78" x14ac:dyDescent="0.25">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c r="AL833"/>
      <c r="AM833"/>
      <c r="AN833"/>
      <c r="AO833"/>
      <c r="AP833"/>
      <c r="AQ833"/>
      <c r="AR833"/>
      <c r="AS833"/>
      <c r="AT833"/>
      <c r="AU833"/>
      <c r="AV833"/>
      <c r="AW833"/>
      <c r="AX833"/>
      <c r="AY833"/>
      <c r="AZ833"/>
      <c r="BA833"/>
      <c r="BB833"/>
      <c r="BC833"/>
      <c r="BD833"/>
      <c r="BE833"/>
      <c r="BF833"/>
      <c r="BG833"/>
      <c r="BH833"/>
      <c r="BI833"/>
      <c r="BJ833"/>
      <c r="BK833"/>
      <c r="BL833"/>
      <c r="BM833"/>
      <c r="BN833"/>
      <c r="BO833"/>
      <c r="BP833"/>
      <c r="BQ833"/>
      <c r="BR833"/>
      <c r="BS833"/>
      <c r="BT833"/>
      <c r="BU833"/>
      <c r="BV833"/>
      <c r="BW833"/>
      <c r="BX833"/>
      <c r="BY833"/>
      <c r="BZ833"/>
    </row>
    <row r="834" spans="4:78" x14ac:dyDescent="0.25">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c r="AL834"/>
      <c r="AM834"/>
      <c r="AN834"/>
      <c r="AO834"/>
      <c r="AP834"/>
      <c r="AQ834"/>
      <c r="AR834"/>
      <c r="AS834"/>
      <c r="AT834"/>
      <c r="AU834"/>
      <c r="AV834"/>
      <c r="AW834"/>
      <c r="AX834"/>
      <c r="AY834"/>
      <c r="AZ834"/>
      <c r="BA834"/>
      <c r="BB834"/>
      <c r="BC834"/>
      <c r="BD834"/>
      <c r="BE834"/>
      <c r="BF834"/>
      <c r="BG834"/>
      <c r="BH834"/>
      <c r="BI834"/>
      <c r="BJ834"/>
      <c r="BK834"/>
      <c r="BL834"/>
      <c r="BM834"/>
      <c r="BN834"/>
      <c r="BO834"/>
      <c r="BP834"/>
      <c r="BQ834"/>
      <c r="BR834"/>
      <c r="BS834"/>
      <c r="BT834"/>
      <c r="BU834"/>
      <c r="BV834"/>
      <c r="BW834"/>
      <c r="BX834"/>
      <c r="BY834"/>
      <c r="BZ834"/>
    </row>
    <row r="835" spans="4:78" x14ac:dyDescent="0.2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c r="AL835"/>
      <c r="AM835"/>
      <c r="AN835"/>
      <c r="AO835"/>
      <c r="AP835"/>
      <c r="AQ835"/>
      <c r="AR835"/>
      <c r="AS835"/>
      <c r="AT835"/>
      <c r="AU835"/>
      <c r="AV835"/>
      <c r="AW835"/>
      <c r="AX835"/>
      <c r="AY835"/>
      <c r="AZ835"/>
      <c r="BA835"/>
      <c r="BB835"/>
      <c r="BC835"/>
      <c r="BD835"/>
      <c r="BE835"/>
      <c r="BF835"/>
      <c r="BG835"/>
      <c r="BH835"/>
      <c r="BI835"/>
      <c r="BJ835"/>
      <c r="BK835"/>
      <c r="BL835"/>
      <c r="BM835"/>
      <c r="BN835"/>
      <c r="BO835"/>
      <c r="BP835"/>
      <c r="BQ835"/>
      <c r="BR835"/>
      <c r="BS835"/>
      <c r="BT835"/>
      <c r="BU835"/>
      <c r="BV835"/>
      <c r="BW835"/>
      <c r="BX835"/>
      <c r="BY835"/>
      <c r="BZ835"/>
    </row>
    <row r="836" spans="4:78" x14ac:dyDescent="0.25">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c r="AL836"/>
      <c r="AM836"/>
      <c r="AN836"/>
      <c r="AO836"/>
      <c r="AP836"/>
      <c r="AQ836"/>
      <c r="AR836"/>
      <c r="AS836"/>
      <c r="AT836"/>
      <c r="AU836"/>
      <c r="AV836"/>
      <c r="AW836"/>
      <c r="AX836"/>
      <c r="AY836"/>
      <c r="AZ836"/>
      <c r="BA836"/>
      <c r="BB836"/>
      <c r="BC836"/>
      <c r="BD836"/>
      <c r="BE836"/>
      <c r="BF836"/>
      <c r="BG836"/>
      <c r="BH836"/>
      <c r="BI836"/>
      <c r="BJ836"/>
      <c r="BK836"/>
      <c r="BL836"/>
      <c r="BM836"/>
      <c r="BN836"/>
      <c r="BO836"/>
      <c r="BP836"/>
      <c r="BQ836"/>
      <c r="BR836"/>
      <c r="BS836"/>
      <c r="BT836"/>
      <c r="BU836"/>
      <c r="BV836"/>
      <c r="BW836"/>
      <c r="BX836"/>
      <c r="BY836"/>
      <c r="BZ836"/>
    </row>
    <row r="837" spans="4:78" x14ac:dyDescent="0.25">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c r="AL837"/>
      <c r="AM837"/>
      <c r="AN837"/>
      <c r="AO837"/>
      <c r="AP837"/>
      <c r="AQ837"/>
      <c r="AR837"/>
      <c r="AS837"/>
      <c r="AT837"/>
      <c r="AU837"/>
      <c r="AV837"/>
      <c r="AW837"/>
      <c r="AX837"/>
      <c r="AY837"/>
      <c r="AZ837"/>
      <c r="BA837"/>
      <c r="BB837"/>
      <c r="BC837"/>
      <c r="BD837"/>
      <c r="BE837"/>
      <c r="BF837"/>
      <c r="BG837"/>
      <c r="BH837"/>
      <c r="BI837"/>
      <c r="BJ837"/>
      <c r="BK837"/>
      <c r="BL837"/>
      <c r="BM837"/>
      <c r="BN837"/>
      <c r="BO837"/>
      <c r="BP837"/>
      <c r="BQ837"/>
      <c r="BR837"/>
      <c r="BS837"/>
      <c r="BT837"/>
      <c r="BU837"/>
      <c r="BV837"/>
      <c r="BW837"/>
      <c r="BX837"/>
      <c r="BY837"/>
      <c r="BZ837"/>
    </row>
    <row r="838" spans="4:78" x14ac:dyDescent="0.25">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c r="AL838"/>
      <c r="AM838"/>
      <c r="AN838"/>
      <c r="AO838"/>
      <c r="AP838"/>
      <c r="AQ838"/>
      <c r="AR838"/>
      <c r="AS838"/>
      <c r="AT838"/>
      <c r="AU838"/>
      <c r="AV838"/>
      <c r="AW838"/>
      <c r="AX838"/>
      <c r="AY838"/>
      <c r="AZ838"/>
      <c r="BA838"/>
      <c r="BB838"/>
      <c r="BC838"/>
      <c r="BD838"/>
      <c r="BE838"/>
      <c r="BF838"/>
      <c r="BG838"/>
      <c r="BH838"/>
      <c r="BI838"/>
      <c r="BJ838"/>
      <c r="BK838"/>
      <c r="BL838"/>
      <c r="BM838"/>
      <c r="BN838"/>
      <c r="BO838"/>
      <c r="BP838"/>
      <c r="BQ838"/>
      <c r="BR838"/>
      <c r="BS838"/>
      <c r="BT838"/>
      <c r="BU838"/>
      <c r="BV838"/>
      <c r="BW838"/>
      <c r="BX838"/>
      <c r="BY838"/>
      <c r="BZ838"/>
    </row>
    <row r="839" spans="4:78" x14ac:dyDescent="0.25">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c r="AL839"/>
      <c r="AM839"/>
      <c r="AN839"/>
      <c r="AO839"/>
      <c r="AP839"/>
      <c r="AQ839"/>
      <c r="AR839"/>
      <c r="AS839"/>
      <c r="AT839"/>
      <c r="AU839"/>
      <c r="AV839"/>
      <c r="AW839"/>
      <c r="AX839"/>
      <c r="AY839"/>
      <c r="AZ839"/>
      <c r="BA839"/>
      <c r="BB839"/>
      <c r="BC839"/>
      <c r="BD839"/>
      <c r="BE839"/>
      <c r="BF839"/>
      <c r="BG839"/>
      <c r="BH839"/>
      <c r="BI839"/>
      <c r="BJ839"/>
      <c r="BK839"/>
      <c r="BL839"/>
      <c r="BM839"/>
      <c r="BN839"/>
      <c r="BO839"/>
      <c r="BP839"/>
      <c r="BQ839"/>
      <c r="BR839"/>
      <c r="BS839"/>
      <c r="BT839"/>
      <c r="BU839"/>
      <c r="BV839"/>
      <c r="BW839"/>
      <c r="BX839"/>
      <c r="BY839"/>
      <c r="BZ839"/>
    </row>
    <row r="840" spans="4:78" x14ac:dyDescent="0.25">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c r="AL840"/>
      <c r="AM840"/>
      <c r="AN840"/>
      <c r="AO840"/>
      <c r="AP840"/>
      <c r="AQ840"/>
      <c r="AR840"/>
      <c r="AS840"/>
      <c r="AT840"/>
      <c r="AU840"/>
      <c r="AV840"/>
      <c r="AW840"/>
      <c r="AX840"/>
      <c r="AY840"/>
      <c r="AZ840"/>
      <c r="BA840"/>
      <c r="BB840"/>
      <c r="BC840"/>
      <c r="BD840"/>
      <c r="BE840"/>
      <c r="BF840"/>
      <c r="BG840"/>
      <c r="BH840"/>
      <c r="BI840"/>
      <c r="BJ840"/>
      <c r="BK840"/>
      <c r="BL840"/>
      <c r="BM840"/>
      <c r="BN840"/>
      <c r="BO840"/>
      <c r="BP840"/>
      <c r="BQ840"/>
      <c r="BR840"/>
      <c r="BS840"/>
      <c r="BT840"/>
      <c r="BU840"/>
      <c r="BV840"/>
      <c r="BW840"/>
      <c r="BX840"/>
      <c r="BY840"/>
      <c r="BZ840"/>
    </row>
    <row r="841" spans="4:78" x14ac:dyDescent="0.25">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c r="AL841"/>
      <c r="AM841"/>
      <c r="AN841"/>
      <c r="AO841"/>
      <c r="AP841"/>
      <c r="AQ841"/>
      <c r="AR841"/>
      <c r="AS841"/>
      <c r="AT841"/>
      <c r="AU841"/>
      <c r="AV841"/>
      <c r="AW841"/>
      <c r="AX841"/>
      <c r="AY841"/>
      <c r="AZ841"/>
      <c r="BA841"/>
      <c r="BB841"/>
      <c r="BC841"/>
      <c r="BD841"/>
      <c r="BE841"/>
      <c r="BF841"/>
      <c r="BG841"/>
      <c r="BH841"/>
      <c r="BI841"/>
      <c r="BJ841"/>
      <c r="BK841"/>
      <c r="BL841"/>
      <c r="BM841"/>
      <c r="BN841"/>
      <c r="BO841"/>
      <c r="BP841"/>
      <c r="BQ841"/>
      <c r="BR841"/>
      <c r="BS841"/>
      <c r="BT841"/>
      <c r="BU841"/>
      <c r="BV841"/>
      <c r="BW841"/>
      <c r="BX841"/>
      <c r="BY841"/>
      <c r="BZ841"/>
    </row>
    <row r="842" spans="4:78" x14ac:dyDescent="0.25">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c r="AL842"/>
      <c r="AM842"/>
      <c r="AN842"/>
      <c r="AO842"/>
      <c r="AP842"/>
      <c r="AQ842"/>
      <c r="AR842"/>
      <c r="AS842"/>
      <c r="AT842"/>
      <c r="AU842"/>
      <c r="AV842"/>
      <c r="AW842"/>
      <c r="AX842"/>
      <c r="AY842"/>
      <c r="AZ842"/>
      <c r="BA842"/>
      <c r="BB842"/>
      <c r="BC842"/>
      <c r="BD842"/>
      <c r="BE842"/>
      <c r="BF842"/>
      <c r="BG842"/>
      <c r="BH842"/>
      <c r="BI842"/>
      <c r="BJ842"/>
      <c r="BK842"/>
      <c r="BL842"/>
      <c r="BM842"/>
      <c r="BN842"/>
      <c r="BO842"/>
      <c r="BP842"/>
      <c r="BQ842"/>
      <c r="BR842"/>
      <c r="BS842"/>
      <c r="BT842"/>
      <c r="BU842"/>
      <c r="BV842"/>
      <c r="BW842"/>
      <c r="BX842"/>
      <c r="BY842"/>
      <c r="BZ842"/>
    </row>
    <row r="843" spans="4:78" x14ac:dyDescent="0.25">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c r="AL843"/>
      <c r="AM843"/>
      <c r="AN843"/>
      <c r="AO843"/>
      <c r="AP843"/>
      <c r="AQ843"/>
      <c r="AR843"/>
      <c r="AS843"/>
      <c r="AT843"/>
      <c r="AU843"/>
      <c r="AV843"/>
      <c r="AW843"/>
      <c r="AX843"/>
      <c r="AY843"/>
      <c r="AZ843"/>
      <c r="BA843"/>
      <c r="BB843"/>
      <c r="BC843"/>
      <c r="BD843"/>
      <c r="BE843"/>
      <c r="BF843"/>
      <c r="BG843"/>
      <c r="BH843"/>
      <c r="BI843"/>
      <c r="BJ843"/>
      <c r="BK843"/>
      <c r="BL843"/>
      <c r="BM843"/>
      <c r="BN843"/>
      <c r="BO843"/>
      <c r="BP843"/>
      <c r="BQ843"/>
      <c r="BR843"/>
      <c r="BS843"/>
      <c r="BT843"/>
      <c r="BU843"/>
      <c r="BV843"/>
      <c r="BW843"/>
      <c r="BX843"/>
      <c r="BY843"/>
      <c r="BZ843"/>
    </row>
    <row r="844" spans="4:78" x14ac:dyDescent="0.25">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c r="AL844"/>
      <c r="AM844"/>
      <c r="AN844"/>
      <c r="AO844"/>
      <c r="AP844"/>
      <c r="AQ844"/>
      <c r="AR844"/>
      <c r="AS844"/>
      <c r="AT844"/>
      <c r="AU844"/>
      <c r="AV844"/>
      <c r="AW844"/>
      <c r="AX844"/>
      <c r="AY844"/>
      <c r="AZ844"/>
      <c r="BA844"/>
      <c r="BB844"/>
      <c r="BC844"/>
      <c r="BD844"/>
      <c r="BE844"/>
      <c r="BF844"/>
      <c r="BG844"/>
      <c r="BH844"/>
      <c r="BI844"/>
      <c r="BJ844"/>
      <c r="BK844"/>
      <c r="BL844"/>
      <c r="BM844"/>
      <c r="BN844"/>
      <c r="BO844"/>
      <c r="BP844"/>
      <c r="BQ844"/>
      <c r="BR844"/>
      <c r="BS844"/>
      <c r="BT844"/>
      <c r="BU844"/>
      <c r="BV844"/>
      <c r="BW844"/>
      <c r="BX844"/>
      <c r="BY844"/>
      <c r="BZ844"/>
    </row>
    <row r="845" spans="4:78" x14ac:dyDescent="0.2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c r="AL845"/>
      <c r="AM845"/>
      <c r="AN845"/>
      <c r="AO845"/>
      <c r="AP845"/>
      <c r="AQ845"/>
      <c r="AR845"/>
      <c r="AS845"/>
      <c r="AT845"/>
      <c r="AU845"/>
      <c r="AV845"/>
      <c r="AW845"/>
      <c r="AX845"/>
      <c r="AY845"/>
      <c r="AZ845"/>
      <c r="BA845"/>
      <c r="BB845"/>
      <c r="BC845"/>
      <c r="BD845"/>
      <c r="BE845"/>
      <c r="BF845"/>
      <c r="BG845"/>
      <c r="BH845"/>
      <c r="BI845"/>
      <c r="BJ845"/>
      <c r="BK845"/>
      <c r="BL845"/>
      <c r="BM845"/>
      <c r="BN845"/>
      <c r="BO845"/>
      <c r="BP845"/>
      <c r="BQ845"/>
      <c r="BR845"/>
      <c r="BS845"/>
      <c r="BT845"/>
      <c r="BU845"/>
      <c r="BV845"/>
      <c r="BW845"/>
      <c r="BX845"/>
      <c r="BY845"/>
      <c r="BZ845"/>
    </row>
    <row r="846" spans="4:78" x14ac:dyDescent="0.25">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c r="AL846"/>
      <c r="AM846"/>
      <c r="AN846"/>
      <c r="AO846"/>
      <c r="AP846"/>
      <c r="AQ846"/>
      <c r="AR846"/>
      <c r="AS846"/>
      <c r="AT846"/>
      <c r="AU846"/>
      <c r="AV846"/>
      <c r="AW846"/>
      <c r="AX846"/>
      <c r="AY846"/>
      <c r="AZ846"/>
      <c r="BA846"/>
      <c r="BB846"/>
      <c r="BC846"/>
      <c r="BD846"/>
      <c r="BE846"/>
      <c r="BF846"/>
      <c r="BG846"/>
      <c r="BH846"/>
      <c r="BI846"/>
      <c r="BJ846"/>
      <c r="BK846"/>
      <c r="BL846"/>
      <c r="BM846"/>
      <c r="BN846"/>
      <c r="BO846"/>
      <c r="BP846"/>
      <c r="BQ846"/>
      <c r="BR846"/>
      <c r="BS846"/>
      <c r="BT846"/>
      <c r="BU846"/>
      <c r="BV846"/>
      <c r="BW846"/>
      <c r="BX846"/>
      <c r="BY846"/>
      <c r="BZ846"/>
    </row>
    <row r="847" spans="4:78" x14ac:dyDescent="0.25">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c r="AL847"/>
      <c r="AM847"/>
      <c r="AN847"/>
      <c r="AO847"/>
      <c r="AP847"/>
      <c r="AQ847"/>
      <c r="AR847"/>
      <c r="AS847"/>
      <c r="AT847"/>
      <c r="AU847"/>
      <c r="AV847"/>
      <c r="AW847"/>
      <c r="AX847"/>
      <c r="AY847"/>
      <c r="AZ847"/>
      <c r="BA847"/>
      <c r="BB847"/>
      <c r="BC847"/>
      <c r="BD847"/>
      <c r="BE847"/>
      <c r="BF847"/>
      <c r="BG847"/>
      <c r="BH847"/>
      <c r="BI847"/>
      <c r="BJ847"/>
      <c r="BK847"/>
      <c r="BL847"/>
      <c r="BM847"/>
      <c r="BN847"/>
      <c r="BO847"/>
      <c r="BP847"/>
      <c r="BQ847"/>
      <c r="BR847"/>
      <c r="BS847"/>
      <c r="BT847"/>
      <c r="BU847"/>
      <c r="BV847"/>
      <c r="BW847"/>
      <c r="BX847"/>
      <c r="BY847"/>
      <c r="BZ847"/>
    </row>
    <row r="848" spans="4:78" x14ac:dyDescent="0.25">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c r="AL848"/>
      <c r="AM848"/>
      <c r="AN848"/>
      <c r="AO848"/>
      <c r="AP848"/>
      <c r="AQ848"/>
      <c r="AR848"/>
      <c r="AS848"/>
      <c r="AT848"/>
      <c r="AU848"/>
      <c r="AV848"/>
      <c r="AW848"/>
      <c r="AX848"/>
      <c r="AY848"/>
      <c r="AZ848"/>
      <c r="BA848"/>
      <c r="BB848"/>
      <c r="BC848"/>
      <c r="BD848"/>
      <c r="BE848"/>
      <c r="BF848"/>
      <c r="BG848"/>
      <c r="BH848"/>
      <c r="BI848"/>
      <c r="BJ848"/>
      <c r="BK848"/>
      <c r="BL848"/>
      <c r="BM848"/>
      <c r="BN848"/>
      <c r="BO848"/>
      <c r="BP848"/>
      <c r="BQ848"/>
      <c r="BR848"/>
      <c r="BS848"/>
      <c r="BT848"/>
      <c r="BU848"/>
      <c r="BV848"/>
      <c r="BW848"/>
      <c r="BX848"/>
      <c r="BY848"/>
      <c r="BZ848"/>
    </row>
    <row r="849" spans="4:78" x14ac:dyDescent="0.25">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row>
    <row r="850" spans="4:78" x14ac:dyDescent="0.25">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row>
    <row r="851" spans="4:78" x14ac:dyDescent="0.25">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row>
    <row r="852" spans="4:78" x14ac:dyDescent="0.25">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row>
    <row r="853" spans="4:78" x14ac:dyDescent="0.25">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row>
    <row r="854" spans="4:78" x14ac:dyDescent="0.25">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row>
    <row r="855" spans="4:78" x14ac:dyDescent="0.2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row>
    <row r="856" spans="4:78" x14ac:dyDescent="0.25">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row>
    <row r="857" spans="4:78" x14ac:dyDescent="0.25">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row>
    <row r="858" spans="4:78" x14ac:dyDescent="0.25">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row>
    <row r="859" spans="4:78" x14ac:dyDescent="0.25">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row>
    <row r="860" spans="4:78" x14ac:dyDescent="0.25">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row>
    <row r="861" spans="4:78" x14ac:dyDescent="0.25">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row>
    <row r="862" spans="4:78" x14ac:dyDescent="0.25">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row>
    <row r="863" spans="4:78" x14ac:dyDescent="0.25">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row>
    <row r="864" spans="4:78" x14ac:dyDescent="0.25">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row>
    <row r="865" spans="4:78" x14ac:dyDescent="0.2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c r="AL865"/>
      <c r="AM865"/>
      <c r="AN865"/>
      <c r="AO865"/>
      <c r="AP865"/>
      <c r="AQ865"/>
      <c r="AR865"/>
      <c r="AS865"/>
      <c r="AT865"/>
      <c r="AU865"/>
      <c r="AV865"/>
      <c r="AW865"/>
      <c r="AX865"/>
      <c r="AY865"/>
      <c r="AZ865"/>
      <c r="BA865"/>
      <c r="BB865"/>
      <c r="BC865"/>
      <c r="BD865"/>
      <c r="BE865"/>
      <c r="BF865"/>
      <c r="BG865"/>
      <c r="BH865"/>
      <c r="BI865"/>
      <c r="BJ865"/>
      <c r="BK865"/>
      <c r="BL865"/>
      <c r="BM865"/>
      <c r="BN865"/>
      <c r="BO865"/>
      <c r="BP865"/>
      <c r="BQ865"/>
      <c r="BR865"/>
      <c r="BS865"/>
      <c r="BT865"/>
      <c r="BU865"/>
      <c r="BV865"/>
      <c r="BW865"/>
      <c r="BX865"/>
      <c r="BY865"/>
      <c r="BZ865"/>
    </row>
    <row r="866" spans="4:78" x14ac:dyDescent="0.25">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c r="AL866"/>
      <c r="AM866"/>
      <c r="AN866"/>
      <c r="AO866"/>
      <c r="AP866"/>
      <c r="AQ866"/>
      <c r="AR866"/>
      <c r="AS866"/>
      <c r="AT866"/>
      <c r="AU866"/>
      <c r="AV866"/>
      <c r="AW866"/>
      <c r="AX866"/>
      <c r="AY866"/>
      <c r="AZ866"/>
      <c r="BA866"/>
      <c r="BB866"/>
      <c r="BC866"/>
      <c r="BD866"/>
      <c r="BE866"/>
      <c r="BF866"/>
      <c r="BG866"/>
      <c r="BH866"/>
      <c r="BI866"/>
      <c r="BJ866"/>
      <c r="BK866"/>
      <c r="BL866"/>
      <c r="BM866"/>
      <c r="BN866"/>
      <c r="BO866"/>
      <c r="BP866"/>
      <c r="BQ866"/>
      <c r="BR866"/>
      <c r="BS866"/>
      <c r="BT866"/>
      <c r="BU866"/>
      <c r="BV866"/>
      <c r="BW866"/>
      <c r="BX866"/>
      <c r="BY866"/>
      <c r="BZ866"/>
    </row>
    <row r="867" spans="4:78" x14ac:dyDescent="0.25">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c r="AL867"/>
      <c r="AM867"/>
      <c r="AN867"/>
      <c r="AO867"/>
      <c r="AP867"/>
      <c r="AQ867"/>
      <c r="AR867"/>
      <c r="AS867"/>
      <c r="AT867"/>
      <c r="AU867"/>
      <c r="AV867"/>
      <c r="AW867"/>
      <c r="AX867"/>
      <c r="AY867"/>
      <c r="AZ867"/>
      <c r="BA867"/>
      <c r="BB867"/>
      <c r="BC867"/>
      <c r="BD867"/>
      <c r="BE867"/>
      <c r="BF867"/>
      <c r="BG867"/>
      <c r="BH867"/>
      <c r="BI867"/>
      <c r="BJ867"/>
      <c r="BK867"/>
      <c r="BL867"/>
      <c r="BM867"/>
      <c r="BN867"/>
      <c r="BO867"/>
      <c r="BP867"/>
      <c r="BQ867"/>
      <c r="BR867"/>
      <c r="BS867"/>
      <c r="BT867"/>
      <c r="BU867"/>
      <c r="BV867"/>
      <c r="BW867"/>
      <c r="BX867"/>
      <c r="BY867"/>
      <c r="BZ867"/>
    </row>
    <row r="868" spans="4:78" x14ac:dyDescent="0.25">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c r="AL868"/>
      <c r="AM868"/>
      <c r="AN868"/>
      <c r="AO868"/>
      <c r="AP868"/>
      <c r="AQ868"/>
      <c r="AR868"/>
      <c r="AS868"/>
      <c r="AT868"/>
      <c r="AU868"/>
      <c r="AV868"/>
      <c r="AW868"/>
      <c r="AX868"/>
      <c r="AY868"/>
      <c r="AZ868"/>
      <c r="BA868"/>
      <c r="BB868"/>
      <c r="BC868"/>
      <c r="BD868"/>
      <c r="BE868"/>
      <c r="BF868"/>
      <c r="BG868"/>
      <c r="BH868"/>
      <c r="BI868"/>
      <c r="BJ868"/>
      <c r="BK868"/>
      <c r="BL868"/>
      <c r="BM868"/>
      <c r="BN868"/>
      <c r="BO868"/>
      <c r="BP868"/>
      <c r="BQ868"/>
      <c r="BR868"/>
      <c r="BS868"/>
      <c r="BT868"/>
      <c r="BU868"/>
      <c r="BV868"/>
      <c r="BW868"/>
      <c r="BX868"/>
      <c r="BY868"/>
      <c r="BZ868"/>
    </row>
    <row r="869" spans="4:78" x14ac:dyDescent="0.25">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c r="AL869"/>
      <c r="AM869"/>
      <c r="AN869"/>
      <c r="AO869"/>
      <c r="AP869"/>
      <c r="AQ869"/>
      <c r="AR869"/>
      <c r="AS869"/>
      <c r="AT869"/>
      <c r="AU869"/>
      <c r="AV869"/>
      <c r="AW869"/>
      <c r="AX869"/>
      <c r="AY869"/>
      <c r="AZ869"/>
      <c r="BA869"/>
      <c r="BB869"/>
      <c r="BC869"/>
      <c r="BD869"/>
      <c r="BE869"/>
      <c r="BF869"/>
      <c r="BG869"/>
      <c r="BH869"/>
      <c r="BI869"/>
      <c r="BJ869"/>
      <c r="BK869"/>
      <c r="BL869"/>
      <c r="BM869"/>
      <c r="BN869"/>
      <c r="BO869"/>
      <c r="BP869"/>
      <c r="BQ869"/>
      <c r="BR869"/>
      <c r="BS869"/>
      <c r="BT869"/>
      <c r="BU869"/>
      <c r="BV869"/>
      <c r="BW869"/>
      <c r="BX869"/>
      <c r="BY869"/>
      <c r="BZ869"/>
    </row>
    <row r="870" spans="4:78" x14ac:dyDescent="0.25">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c r="AL870"/>
      <c r="AM870"/>
      <c r="AN870"/>
      <c r="AO870"/>
      <c r="AP870"/>
      <c r="AQ870"/>
      <c r="AR870"/>
      <c r="AS870"/>
      <c r="AT870"/>
      <c r="AU870"/>
      <c r="AV870"/>
      <c r="AW870"/>
      <c r="AX870"/>
      <c r="AY870"/>
      <c r="AZ870"/>
      <c r="BA870"/>
      <c r="BB870"/>
      <c r="BC870"/>
      <c r="BD870"/>
      <c r="BE870"/>
      <c r="BF870"/>
      <c r="BG870"/>
      <c r="BH870"/>
      <c r="BI870"/>
      <c r="BJ870"/>
      <c r="BK870"/>
      <c r="BL870"/>
      <c r="BM870"/>
      <c r="BN870"/>
      <c r="BO870"/>
      <c r="BP870"/>
      <c r="BQ870"/>
      <c r="BR870"/>
      <c r="BS870"/>
      <c r="BT870"/>
      <c r="BU870"/>
      <c r="BV870"/>
      <c r="BW870"/>
      <c r="BX870"/>
      <c r="BY870"/>
      <c r="BZ870"/>
    </row>
    <row r="871" spans="4:78" x14ac:dyDescent="0.25">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c r="AL871"/>
      <c r="AM871"/>
      <c r="AN871"/>
      <c r="AO871"/>
      <c r="AP871"/>
      <c r="AQ871"/>
      <c r="AR871"/>
      <c r="AS871"/>
      <c r="AT871"/>
      <c r="AU871"/>
      <c r="AV871"/>
      <c r="AW871"/>
      <c r="AX871"/>
      <c r="AY871"/>
      <c r="AZ871"/>
      <c r="BA871"/>
      <c r="BB871"/>
      <c r="BC871"/>
      <c r="BD871"/>
      <c r="BE871"/>
      <c r="BF871"/>
      <c r="BG871"/>
      <c r="BH871"/>
      <c r="BI871"/>
      <c r="BJ871"/>
      <c r="BK871"/>
      <c r="BL871"/>
      <c r="BM871"/>
      <c r="BN871"/>
      <c r="BO871"/>
      <c r="BP871"/>
      <c r="BQ871"/>
      <c r="BR871"/>
      <c r="BS871"/>
      <c r="BT871"/>
      <c r="BU871"/>
      <c r="BV871"/>
      <c r="BW871"/>
      <c r="BX871"/>
      <c r="BY871"/>
      <c r="BZ871"/>
    </row>
    <row r="872" spans="4:78" x14ac:dyDescent="0.25">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c r="AL872"/>
      <c r="AM872"/>
      <c r="AN872"/>
      <c r="AO872"/>
      <c r="AP872"/>
      <c r="AQ872"/>
      <c r="AR872"/>
      <c r="AS872"/>
      <c r="AT872"/>
      <c r="AU872"/>
      <c r="AV872"/>
      <c r="AW872"/>
      <c r="AX872"/>
      <c r="AY872"/>
      <c r="AZ872"/>
      <c r="BA872"/>
      <c r="BB872"/>
      <c r="BC872"/>
      <c r="BD872"/>
      <c r="BE872"/>
      <c r="BF872"/>
      <c r="BG872"/>
      <c r="BH872"/>
      <c r="BI872"/>
      <c r="BJ872"/>
      <c r="BK872"/>
      <c r="BL872"/>
      <c r="BM872"/>
      <c r="BN872"/>
      <c r="BO872"/>
      <c r="BP872"/>
      <c r="BQ872"/>
      <c r="BR872"/>
      <c r="BS872"/>
      <c r="BT872"/>
      <c r="BU872"/>
      <c r="BV872"/>
      <c r="BW872"/>
      <c r="BX872"/>
      <c r="BY872"/>
      <c r="BZ872"/>
    </row>
    <row r="873" spans="4:78" x14ac:dyDescent="0.25">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c r="AL873"/>
      <c r="AM873"/>
      <c r="AN873"/>
      <c r="AO873"/>
      <c r="AP873"/>
      <c r="AQ873"/>
      <c r="AR873"/>
      <c r="AS873"/>
      <c r="AT873"/>
      <c r="AU873"/>
      <c r="AV873"/>
      <c r="AW873"/>
      <c r="AX873"/>
      <c r="AY873"/>
      <c r="AZ873"/>
      <c r="BA873"/>
      <c r="BB873"/>
      <c r="BC873"/>
      <c r="BD873"/>
      <c r="BE873"/>
      <c r="BF873"/>
      <c r="BG873"/>
      <c r="BH873"/>
      <c r="BI873"/>
      <c r="BJ873"/>
      <c r="BK873"/>
      <c r="BL873"/>
      <c r="BM873"/>
      <c r="BN873"/>
      <c r="BO873"/>
      <c r="BP873"/>
      <c r="BQ873"/>
      <c r="BR873"/>
      <c r="BS873"/>
      <c r="BT873"/>
      <c r="BU873"/>
      <c r="BV873"/>
      <c r="BW873"/>
      <c r="BX873"/>
      <c r="BY873"/>
      <c r="BZ873"/>
    </row>
    <row r="874" spans="4:78" x14ac:dyDescent="0.25">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c r="AL874"/>
      <c r="AM874"/>
      <c r="AN874"/>
      <c r="AO874"/>
      <c r="AP874"/>
      <c r="AQ874"/>
      <c r="AR874"/>
      <c r="AS874"/>
      <c r="AT874"/>
      <c r="AU874"/>
      <c r="AV874"/>
      <c r="AW874"/>
      <c r="AX874"/>
      <c r="AY874"/>
      <c r="AZ874"/>
      <c r="BA874"/>
      <c r="BB874"/>
      <c r="BC874"/>
      <c r="BD874"/>
      <c r="BE874"/>
      <c r="BF874"/>
      <c r="BG874"/>
      <c r="BH874"/>
      <c r="BI874"/>
      <c r="BJ874"/>
      <c r="BK874"/>
      <c r="BL874"/>
      <c r="BM874"/>
      <c r="BN874"/>
      <c r="BO874"/>
      <c r="BP874"/>
      <c r="BQ874"/>
      <c r="BR874"/>
      <c r="BS874"/>
      <c r="BT874"/>
      <c r="BU874"/>
      <c r="BV874"/>
      <c r="BW874"/>
      <c r="BX874"/>
      <c r="BY874"/>
      <c r="BZ874"/>
    </row>
    <row r="875" spans="4:78" x14ac:dyDescent="0.2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c r="AL875"/>
      <c r="AM875"/>
      <c r="AN875"/>
      <c r="AO875"/>
      <c r="AP875"/>
      <c r="AQ875"/>
      <c r="AR875"/>
      <c r="AS875"/>
      <c r="AT875"/>
      <c r="AU875"/>
      <c r="AV875"/>
      <c r="AW875"/>
      <c r="AX875"/>
      <c r="AY875"/>
      <c r="AZ875"/>
      <c r="BA875"/>
      <c r="BB875"/>
      <c r="BC875"/>
      <c r="BD875"/>
      <c r="BE875"/>
      <c r="BF875"/>
      <c r="BG875"/>
      <c r="BH875"/>
      <c r="BI875"/>
      <c r="BJ875"/>
      <c r="BK875"/>
      <c r="BL875"/>
      <c r="BM875"/>
      <c r="BN875"/>
      <c r="BO875"/>
      <c r="BP875"/>
      <c r="BQ875"/>
      <c r="BR875"/>
      <c r="BS875"/>
      <c r="BT875"/>
      <c r="BU875"/>
      <c r="BV875"/>
      <c r="BW875"/>
      <c r="BX875"/>
      <c r="BY875"/>
      <c r="BZ875"/>
    </row>
    <row r="876" spans="4:78" x14ac:dyDescent="0.25">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c r="AL876"/>
      <c r="AM876"/>
      <c r="AN876"/>
      <c r="AO876"/>
      <c r="AP876"/>
      <c r="AQ876"/>
      <c r="AR876"/>
      <c r="AS876"/>
      <c r="AT876"/>
      <c r="AU876"/>
      <c r="AV876"/>
      <c r="AW876"/>
      <c r="AX876"/>
      <c r="AY876"/>
      <c r="AZ876"/>
      <c r="BA876"/>
      <c r="BB876"/>
      <c r="BC876"/>
      <c r="BD876"/>
      <c r="BE876"/>
      <c r="BF876"/>
      <c r="BG876"/>
      <c r="BH876"/>
      <c r="BI876"/>
      <c r="BJ876"/>
      <c r="BK876"/>
      <c r="BL876"/>
      <c r="BM876"/>
      <c r="BN876"/>
      <c r="BO876"/>
      <c r="BP876"/>
      <c r="BQ876"/>
      <c r="BR876"/>
      <c r="BS876"/>
      <c r="BT876"/>
      <c r="BU876"/>
      <c r="BV876"/>
      <c r="BW876"/>
      <c r="BX876"/>
      <c r="BY876"/>
      <c r="BZ876"/>
    </row>
    <row r="877" spans="4:78" x14ac:dyDescent="0.25">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c r="AL877"/>
      <c r="AM877"/>
      <c r="AN877"/>
      <c r="AO877"/>
      <c r="AP877"/>
      <c r="AQ877"/>
      <c r="AR877"/>
      <c r="AS877"/>
      <c r="AT877"/>
      <c r="AU877"/>
      <c r="AV877"/>
      <c r="AW877"/>
      <c r="AX877"/>
      <c r="AY877"/>
      <c r="AZ877"/>
      <c r="BA877"/>
      <c r="BB877"/>
      <c r="BC877"/>
      <c r="BD877"/>
      <c r="BE877"/>
      <c r="BF877"/>
      <c r="BG877"/>
      <c r="BH877"/>
      <c r="BI877"/>
      <c r="BJ877"/>
      <c r="BK877"/>
      <c r="BL877"/>
      <c r="BM877"/>
      <c r="BN877"/>
      <c r="BO877"/>
      <c r="BP877"/>
      <c r="BQ877"/>
      <c r="BR877"/>
      <c r="BS877"/>
      <c r="BT877"/>
      <c r="BU877"/>
      <c r="BV877"/>
      <c r="BW877"/>
      <c r="BX877"/>
      <c r="BY877"/>
      <c r="BZ877"/>
    </row>
    <row r="878" spans="4:78" x14ac:dyDescent="0.25">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c r="AL878"/>
      <c r="AM878"/>
      <c r="AN878"/>
      <c r="AO878"/>
      <c r="AP878"/>
      <c r="AQ878"/>
      <c r="AR878"/>
      <c r="AS878"/>
      <c r="AT878"/>
      <c r="AU878"/>
      <c r="AV878"/>
      <c r="AW878"/>
      <c r="AX878"/>
      <c r="AY878"/>
      <c r="AZ878"/>
      <c r="BA878"/>
      <c r="BB878"/>
      <c r="BC878"/>
      <c r="BD878"/>
      <c r="BE878"/>
      <c r="BF878"/>
      <c r="BG878"/>
      <c r="BH878"/>
      <c r="BI878"/>
      <c r="BJ878"/>
      <c r="BK878"/>
      <c r="BL878"/>
      <c r="BM878"/>
      <c r="BN878"/>
      <c r="BO878"/>
      <c r="BP878"/>
      <c r="BQ878"/>
      <c r="BR878"/>
      <c r="BS878"/>
      <c r="BT878"/>
      <c r="BU878"/>
      <c r="BV878"/>
      <c r="BW878"/>
      <c r="BX878"/>
      <c r="BY878"/>
      <c r="BZ878"/>
    </row>
    <row r="879" spans="4:78" x14ac:dyDescent="0.25">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c r="AL879"/>
      <c r="AM879"/>
      <c r="AN879"/>
      <c r="AO879"/>
      <c r="AP879"/>
      <c r="AQ879"/>
      <c r="AR879"/>
      <c r="AS879"/>
      <c r="AT879"/>
      <c r="AU879"/>
      <c r="AV879"/>
      <c r="AW879"/>
      <c r="AX879"/>
      <c r="AY879"/>
      <c r="AZ879"/>
      <c r="BA879"/>
      <c r="BB879"/>
      <c r="BC879"/>
      <c r="BD879"/>
      <c r="BE879"/>
      <c r="BF879"/>
      <c r="BG879"/>
      <c r="BH879"/>
      <c r="BI879"/>
      <c r="BJ879"/>
      <c r="BK879"/>
      <c r="BL879"/>
      <c r="BM879"/>
      <c r="BN879"/>
      <c r="BO879"/>
      <c r="BP879"/>
      <c r="BQ879"/>
      <c r="BR879"/>
      <c r="BS879"/>
      <c r="BT879"/>
      <c r="BU879"/>
      <c r="BV879"/>
      <c r="BW879"/>
      <c r="BX879"/>
      <c r="BY879"/>
      <c r="BZ879"/>
    </row>
    <row r="880" spans="4:78" x14ac:dyDescent="0.25">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c r="AL880"/>
      <c r="AM880"/>
      <c r="AN880"/>
      <c r="AO880"/>
      <c r="AP880"/>
      <c r="AQ880"/>
      <c r="AR880"/>
      <c r="AS880"/>
      <c r="AT880"/>
      <c r="AU880"/>
      <c r="AV880"/>
      <c r="AW880"/>
      <c r="AX880"/>
      <c r="AY880"/>
      <c r="AZ880"/>
      <c r="BA880"/>
      <c r="BB880"/>
      <c r="BC880"/>
      <c r="BD880"/>
      <c r="BE880"/>
      <c r="BF880"/>
      <c r="BG880"/>
      <c r="BH880"/>
      <c r="BI880"/>
      <c r="BJ880"/>
      <c r="BK880"/>
      <c r="BL880"/>
      <c r="BM880"/>
      <c r="BN880"/>
      <c r="BO880"/>
      <c r="BP880"/>
      <c r="BQ880"/>
      <c r="BR880"/>
      <c r="BS880"/>
      <c r="BT880"/>
      <c r="BU880"/>
      <c r="BV880"/>
      <c r="BW880"/>
      <c r="BX880"/>
      <c r="BY880"/>
      <c r="BZ880"/>
    </row>
    <row r="881" spans="4:78" x14ac:dyDescent="0.25">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c r="AL881"/>
      <c r="AM881"/>
      <c r="AN881"/>
      <c r="AO881"/>
      <c r="AP881"/>
      <c r="AQ881"/>
      <c r="AR881"/>
      <c r="AS881"/>
      <c r="AT881"/>
      <c r="AU881"/>
      <c r="AV881"/>
      <c r="AW881"/>
      <c r="AX881"/>
      <c r="AY881"/>
      <c r="AZ881"/>
      <c r="BA881"/>
      <c r="BB881"/>
      <c r="BC881"/>
      <c r="BD881"/>
      <c r="BE881"/>
      <c r="BF881"/>
      <c r="BG881"/>
      <c r="BH881"/>
      <c r="BI881"/>
      <c r="BJ881"/>
      <c r="BK881"/>
      <c r="BL881"/>
      <c r="BM881"/>
      <c r="BN881"/>
      <c r="BO881"/>
      <c r="BP881"/>
      <c r="BQ881"/>
      <c r="BR881"/>
      <c r="BS881"/>
      <c r="BT881"/>
      <c r="BU881"/>
      <c r="BV881"/>
      <c r="BW881"/>
      <c r="BX881"/>
      <c r="BY881"/>
      <c r="BZ881"/>
    </row>
    <row r="882" spans="4:78" x14ac:dyDescent="0.25">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c r="AL882"/>
      <c r="AM882"/>
      <c r="AN882"/>
      <c r="AO882"/>
      <c r="AP882"/>
      <c r="AQ882"/>
      <c r="AR882"/>
      <c r="AS882"/>
      <c r="AT882"/>
      <c r="AU882"/>
      <c r="AV882"/>
      <c r="AW882"/>
      <c r="AX882"/>
      <c r="AY882"/>
      <c r="AZ882"/>
      <c r="BA882"/>
      <c r="BB882"/>
      <c r="BC882"/>
      <c r="BD882"/>
      <c r="BE882"/>
      <c r="BF882"/>
      <c r="BG882"/>
      <c r="BH882"/>
      <c r="BI882"/>
      <c r="BJ882"/>
      <c r="BK882"/>
      <c r="BL882"/>
      <c r="BM882"/>
      <c r="BN882"/>
      <c r="BO882"/>
      <c r="BP882"/>
      <c r="BQ882"/>
      <c r="BR882"/>
      <c r="BS882"/>
      <c r="BT882"/>
      <c r="BU882"/>
      <c r="BV882"/>
      <c r="BW882"/>
      <c r="BX882"/>
      <c r="BY882"/>
      <c r="BZ882"/>
    </row>
    <row r="883" spans="4:78" x14ac:dyDescent="0.25">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c r="AL883"/>
      <c r="AM883"/>
      <c r="AN883"/>
      <c r="AO883"/>
      <c r="AP883"/>
      <c r="AQ883"/>
      <c r="AR883"/>
      <c r="AS883"/>
      <c r="AT883"/>
      <c r="AU883"/>
      <c r="AV883"/>
      <c r="AW883"/>
      <c r="AX883"/>
      <c r="AY883"/>
      <c r="AZ883"/>
      <c r="BA883"/>
      <c r="BB883"/>
      <c r="BC883"/>
      <c r="BD883"/>
      <c r="BE883"/>
      <c r="BF883"/>
      <c r="BG883"/>
      <c r="BH883"/>
      <c r="BI883"/>
      <c r="BJ883"/>
      <c r="BK883"/>
      <c r="BL883"/>
      <c r="BM883"/>
      <c r="BN883"/>
      <c r="BO883"/>
      <c r="BP883"/>
      <c r="BQ883"/>
      <c r="BR883"/>
      <c r="BS883"/>
      <c r="BT883"/>
      <c r="BU883"/>
      <c r="BV883"/>
      <c r="BW883"/>
      <c r="BX883"/>
      <c r="BY883"/>
      <c r="BZ883"/>
    </row>
    <row r="884" spans="4:78" x14ac:dyDescent="0.25">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c r="AL884"/>
      <c r="AM884"/>
      <c r="AN884"/>
      <c r="AO884"/>
      <c r="AP884"/>
      <c r="AQ884"/>
      <c r="AR884"/>
      <c r="AS884"/>
      <c r="AT884"/>
      <c r="AU884"/>
      <c r="AV884"/>
      <c r="AW884"/>
      <c r="AX884"/>
      <c r="AY884"/>
      <c r="AZ884"/>
      <c r="BA884"/>
      <c r="BB884"/>
      <c r="BC884"/>
      <c r="BD884"/>
      <c r="BE884"/>
      <c r="BF884"/>
      <c r="BG884"/>
      <c r="BH884"/>
      <c r="BI884"/>
      <c r="BJ884"/>
      <c r="BK884"/>
      <c r="BL884"/>
      <c r="BM884"/>
      <c r="BN884"/>
      <c r="BO884"/>
      <c r="BP884"/>
      <c r="BQ884"/>
      <c r="BR884"/>
      <c r="BS884"/>
      <c r="BT884"/>
      <c r="BU884"/>
      <c r="BV884"/>
      <c r="BW884"/>
      <c r="BX884"/>
      <c r="BY884"/>
      <c r="BZ884"/>
    </row>
    <row r="885" spans="4:78" x14ac:dyDescent="0.2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c r="AL885"/>
      <c r="AM885"/>
      <c r="AN885"/>
      <c r="AO885"/>
      <c r="AP885"/>
      <c r="AQ885"/>
      <c r="AR885"/>
      <c r="AS885"/>
      <c r="AT885"/>
      <c r="AU885"/>
      <c r="AV885"/>
      <c r="AW885"/>
      <c r="AX885"/>
      <c r="AY885"/>
      <c r="AZ885"/>
      <c r="BA885"/>
      <c r="BB885"/>
      <c r="BC885"/>
      <c r="BD885"/>
      <c r="BE885"/>
      <c r="BF885"/>
      <c r="BG885"/>
      <c r="BH885"/>
      <c r="BI885"/>
      <c r="BJ885"/>
      <c r="BK885"/>
      <c r="BL885"/>
      <c r="BM885"/>
      <c r="BN885"/>
      <c r="BO885"/>
      <c r="BP885"/>
      <c r="BQ885"/>
      <c r="BR885"/>
      <c r="BS885"/>
      <c r="BT885"/>
      <c r="BU885"/>
      <c r="BV885"/>
      <c r="BW885"/>
      <c r="BX885"/>
      <c r="BY885"/>
      <c r="BZ885"/>
    </row>
    <row r="886" spans="4:78" x14ac:dyDescent="0.25">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c r="AL886"/>
      <c r="AM886"/>
      <c r="AN886"/>
      <c r="AO886"/>
      <c r="AP886"/>
      <c r="AQ886"/>
      <c r="AR886"/>
      <c r="AS886"/>
      <c r="AT886"/>
      <c r="AU886"/>
      <c r="AV886"/>
      <c r="AW886"/>
      <c r="AX886"/>
      <c r="AY886"/>
      <c r="AZ886"/>
      <c r="BA886"/>
      <c r="BB886"/>
      <c r="BC886"/>
      <c r="BD886"/>
      <c r="BE886"/>
      <c r="BF886"/>
      <c r="BG886"/>
      <c r="BH886"/>
      <c r="BI886"/>
      <c r="BJ886"/>
      <c r="BK886"/>
      <c r="BL886"/>
      <c r="BM886"/>
      <c r="BN886"/>
      <c r="BO886"/>
      <c r="BP886"/>
      <c r="BQ886"/>
      <c r="BR886"/>
      <c r="BS886"/>
      <c r="BT886"/>
      <c r="BU886"/>
      <c r="BV886"/>
      <c r="BW886"/>
      <c r="BX886"/>
      <c r="BY886"/>
      <c r="BZ886"/>
    </row>
    <row r="887" spans="4:78" x14ac:dyDescent="0.25">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c r="AL887"/>
      <c r="AM887"/>
      <c r="AN887"/>
      <c r="AO887"/>
      <c r="AP887"/>
      <c r="AQ887"/>
      <c r="AR887"/>
      <c r="AS887"/>
      <c r="AT887"/>
      <c r="AU887"/>
      <c r="AV887"/>
      <c r="AW887"/>
      <c r="AX887"/>
      <c r="AY887"/>
      <c r="AZ887"/>
      <c r="BA887"/>
      <c r="BB887"/>
      <c r="BC887"/>
      <c r="BD887"/>
      <c r="BE887"/>
      <c r="BF887"/>
      <c r="BG887"/>
      <c r="BH887"/>
      <c r="BI887"/>
      <c r="BJ887"/>
      <c r="BK887"/>
      <c r="BL887"/>
      <c r="BM887"/>
      <c r="BN887"/>
      <c r="BO887"/>
      <c r="BP887"/>
      <c r="BQ887"/>
      <c r="BR887"/>
      <c r="BS887"/>
      <c r="BT887"/>
      <c r="BU887"/>
      <c r="BV887"/>
      <c r="BW887"/>
      <c r="BX887"/>
      <c r="BY887"/>
      <c r="BZ887"/>
    </row>
    <row r="888" spans="4:78" x14ac:dyDescent="0.25">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c r="AL888"/>
      <c r="AM888"/>
      <c r="AN888"/>
      <c r="AO888"/>
      <c r="AP888"/>
      <c r="AQ888"/>
      <c r="AR888"/>
      <c r="AS888"/>
      <c r="AT888"/>
      <c r="AU888"/>
      <c r="AV888"/>
      <c r="AW888"/>
      <c r="AX888"/>
      <c r="AY888"/>
      <c r="AZ888"/>
      <c r="BA888"/>
      <c r="BB888"/>
      <c r="BC888"/>
      <c r="BD888"/>
      <c r="BE888"/>
      <c r="BF888"/>
      <c r="BG888"/>
      <c r="BH888"/>
      <c r="BI888"/>
      <c r="BJ888"/>
      <c r="BK888"/>
      <c r="BL888"/>
      <c r="BM888"/>
      <c r="BN888"/>
      <c r="BO888"/>
      <c r="BP888"/>
      <c r="BQ888"/>
      <c r="BR888"/>
      <c r="BS888"/>
      <c r="BT888"/>
      <c r="BU888"/>
      <c r="BV888"/>
      <c r="BW888"/>
      <c r="BX888"/>
      <c r="BY888"/>
      <c r="BZ888"/>
    </row>
    <row r="889" spans="4:78" x14ac:dyDescent="0.25">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c r="AL889"/>
      <c r="AM889"/>
      <c r="AN889"/>
      <c r="AO889"/>
      <c r="AP889"/>
      <c r="AQ889"/>
      <c r="AR889"/>
      <c r="AS889"/>
      <c r="AT889"/>
      <c r="AU889"/>
      <c r="AV889"/>
      <c r="AW889"/>
      <c r="AX889"/>
      <c r="AY889"/>
      <c r="AZ889"/>
      <c r="BA889"/>
      <c r="BB889"/>
      <c r="BC889"/>
      <c r="BD889"/>
      <c r="BE889"/>
      <c r="BF889"/>
      <c r="BG889"/>
      <c r="BH889"/>
      <c r="BI889"/>
      <c r="BJ889"/>
      <c r="BK889"/>
      <c r="BL889"/>
      <c r="BM889"/>
      <c r="BN889"/>
      <c r="BO889"/>
      <c r="BP889"/>
      <c r="BQ889"/>
      <c r="BR889"/>
      <c r="BS889"/>
      <c r="BT889"/>
      <c r="BU889"/>
      <c r="BV889"/>
      <c r="BW889"/>
      <c r="BX889"/>
      <c r="BY889"/>
      <c r="BZ889"/>
    </row>
    <row r="890" spans="4:78" x14ac:dyDescent="0.25">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c r="AL890"/>
      <c r="AM890"/>
      <c r="AN890"/>
      <c r="AO890"/>
      <c r="AP890"/>
      <c r="AQ890"/>
      <c r="AR890"/>
      <c r="AS890"/>
      <c r="AT890"/>
      <c r="AU890"/>
      <c r="AV890"/>
      <c r="AW890"/>
      <c r="AX890"/>
      <c r="AY890"/>
      <c r="AZ890"/>
      <c r="BA890"/>
      <c r="BB890"/>
      <c r="BC890"/>
      <c r="BD890"/>
      <c r="BE890"/>
      <c r="BF890"/>
      <c r="BG890"/>
      <c r="BH890"/>
      <c r="BI890"/>
      <c r="BJ890"/>
      <c r="BK890"/>
      <c r="BL890"/>
      <c r="BM890"/>
      <c r="BN890"/>
      <c r="BO890"/>
      <c r="BP890"/>
      <c r="BQ890"/>
      <c r="BR890"/>
      <c r="BS890"/>
      <c r="BT890"/>
      <c r="BU890"/>
      <c r="BV890"/>
      <c r="BW890"/>
      <c r="BX890"/>
      <c r="BY890"/>
      <c r="BZ890"/>
    </row>
    <row r="891" spans="4:78" x14ac:dyDescent="0.25">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c r="AL891"/>
      <c r="AM891"/>
      <c r="AN891"/>
      <c r="AO891"/>
      <c r="AP891"/>
      <c r="AQ891"/>
      <c r="AR891"/>
      <c r="AS891"/>
      <c r="AT891"/>
      <c r="AU891"/>
      <c r="AV891"/>
      <c r="AW891"/>
      <c r="AX891"/>
      <c r="AY891"/>
      <c r="AZ891"/>
      <c r="BA891"/>
      <c r="BB891"/>
      <c r="BC891"/>
      <c r="BD891"/>
      <c r="BE891"/>
      <c r="BF891"/>
      <c r="BG891"/>
      <c r="BH891"/>
      <c r="BI891"/>
      <c r="BJ891"/>
      <c r="BK891"/>
      <c r="BL891"/>
      <c r="BM891"/>
      <c r="BN891"/>
      <c r="BO891"/>
      <c r="BP891"/>
      <c r="BQ891"/>
      <c r="BR891"/>
      <c r="BS891"/>
      <c r="BT891"/>
      <c r="BU891"/>
      <c r="BV891"/>
      <c r="BW891"/>
      <c r="BX891"/>
      <c r="BY891"/>
      <c r="BZ891"/>
    </row>
    <row r="892" spans="4:78" x14ac:dyDescent="0.25">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c r="AL892"/>
      <c r="AM892"/>
      <c r="AN892"/>
      <c r="AO892"/>
      <c r="AP892"/>
      <c r="AQ892"/>
      <c r="AR892"/>
      <c r="AS892"/>
      <c r="AT892"/>
      <c r="AU892"/>
      <c r="AV892"/>
      <c r="AW892"/>
      <c r="AX892"/>
      <c r="AY892"/>
      <c r="AZ892"/>
      <c r="BA892"/>
      <c r="BB892"/>
      <c r="BC892"/>
      <c r="BD892"/>
      <c r="BE892"/>
      <c r="BF892"/>
      <c r="BG892"/>
      <c r="BH892"/>
      <c r="BI892"/>
      <c r="BJ892"/>
      <c r="BK892"/>
      <c r="BL892"/>
      <c r="BM892"/>
      <c r="BN892"/>
      <c r="BO892"/>
      <c r="BP892"/>
      <c r="BQ892"/>
      <c r="BR892"/>
      <c r="BS892"/>
      <c r="BT892"/>
      <c r="BU892"/>
      <c r="BV892"/>
      <c r="BW892"/>
      <c r="BX892"/>
      <c r="BY892"/>
      <c r="BZ892"/>
    </row>
    <row r="893" spans="4:78" x14ac:dyDescent="0.25">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c r="AL893"/>
      <c r="AM893"/>
      <c r="AN893"/>
      <c r="AO893"/>
      <c r="AP893"/>
      <c r="AQ893"/>
      <c r="AR893"/>
      <c r="AS893"/>
      <c r="AT893"/>
      <c r="AU893"/>
      <c r="AV893"/>
      <c r="AW893"/>
      <c r="AX893"/>
      <c r="AY893"/>
      <c r="AZ893"/>
      <c r="BA893"/>
      <c r="BB893"/>
      <c r="BC893"/>
      <c r="BD893"/>
      <c r="BE893"/>
      <c r="BF893"/>
      <c r="BG893"/>
      <c r="BH893"/>
      <c r="BI893"/>
      <c r="BJ893"/>
      <c r="BK893"/>
      <c r="BL893"/>
      <c r="BM893"/>
      <c r="BN893"/>
      <c r="BO893"/>
      <c r="BP893"/>
      <c r="BQ893"/>
      <c r="BR893"/>
      <c r="BS893"/>
      <c r="BT893"/>
      <c r="BU893"/>
      <c r="BV893"/>
      <c r="BW893"/>
      <c r="BX893"/>
      <c r="BY893"/>
      <c r="BZ893"/>
    </row>
    <row r="894" spans="4:78" x14ac:dyDescent="0.25">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c r="AL894"/>
      <c r="AM894"/>
      <c r="AN894"/>
      <c r="AO894"/>
      <c r="AP894"/>
      <c r="AQ894"/>
      <c r="AR894"/>
      <c r="AS894"/>
      <c r="AT894"/>
      <c r="AU894"/>
      <c r="AV894"/>
      <c r="AW894"/>
      <c r="AX894"/>
      <c r="AY894"/>
      <c r="AZ894"/>
      <c r="BA894"/>
      <c r="BB894"/>
      <c r="BC894"/>
      <c r="BD894"/>
      <c r="BE894"/>
      <c r="BF894"/>
      <c r="BG894"/>
      <c r="BH894"/>
      <c r="BI894"/>
      <c r="BJ894"/>
      <c r="BK894"/>
      <c r="BL894"/>
      <c r="BM894"/>
      <c r="BN894"/>
      <c r="BO894"/>
      <c r="BP894"/>
      <c r="BQ894"/>
      <c r="BR894"/>
      <c r="BS894"/>
      <c r="BT894"/>
      <c r="BU894"/>
      <c r="BV894"/>
      <c r="BW894"/>
      <c r="BX894"/>
      <c r="BY894"/>
      <c r="BZ894"/>
    </row>
    <row r="895" spans="4:78" x14ac:dyDescent="0.2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c r="AL895"/>
      <c r="AM895"/>
      <c r="AN895"/>
      <c r="AO895"/>
      <c r="AP895"/>
      <c r="AQ895"/>
      <c r="AR895"/>
      <c r="AS895"/>
      <c r="AT895"/>
      <c r="AU895"/>
      <c r="AV895"/>
      <c r="AW895"/>
      <c r="AX895"/>
      <c r="AY895"/>
      <c r="AZ895"/>
      <c r="BA895"/>
      <c r="BB895"/>
      <c r="BC895"/>
      <c r="BD895"/>
      <c r="BE895"/>
      <c r="BF895"/>
      <c r="BG895"/>
      <c r="BH895"/>
      <c r="BI895"/>
      <c r="BJ895"/>
      <c r="BK895"/>
      <c r="BL895"/>
      <c r="BM895"/>
      <c r="BN895"/>
      <c r="BO895"/>
      <c r="BP895"/>
      <c r="BQ895"/>
      <c r="BR895"/>
      <c r="BS895"/>
      <c r="BT895"/>
      <c r="BU895"/>
      <c r="BV895"/>
      <c r="BW895"/>
      <c r="BX895"/>
      <c r="BY895"/>
      <c r="BZ895"/>
    </row>
    <row r="896" spans="4:78" x14ac:dyDescent="0.25">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c r="AL896"/>
      <c r="AM896"/>
      <c r="AN896"/>
      <c r="AO896"/>
      <c r="AP896"/>
      <c r="AQ896"/>
      <c r="AR896"/>
      <c r="AS896"/>
      <c r="AT896"/>
      <c r="AU896"/>
      <c r="AV896"/>
      <c r="AW896"/>
      <c r="AX896"/>
      <c r="AY896"/>
      <c r="AZ896"/>
      <c r="BA896"/>
      <c r="BB896"/>
      <c r="BC896"/>
      <c r="BD896"/>
      <c r="BE896"/>
      <c r="BF896"/>
      <c r="BG896"/>
      <c r="BH896"/>
      <c r="BI896"/>
      <c r="BJ896"/>
      <c r="BK896"/>
      <c r="BL896"/>
      <c r="BM896"/>
      <c r="BN896"/>
      <c r="BO896"/>
      <c r="BP896"/>
      <c r="BQ896"/>
      <c r="BR896"/>
      <c r="BS896"/>
      <c r="BT896"/>
      <c r="BU896"/>
      <c r="BV896"/>
      <c r="BW896"/>
      <c r="BX896"/>
      <c r="BY896"/>
      <c r="BZ896"/>
    </row>
    <row r="897" spans="4:78" x14ac:dyDescent="0.25">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c r="AL897"/>
      <c r="AM897"/>
      <c r="AN897"/>
      <c r="AO897"/>
      <c r="AP897"/>
      <c r="AQ897"/>
      <c r="AR897"/>
      <c r="AS897"/>
      <c r="AT897"/>
      <c r="AU897"/>
      <c r="AV897"/>
      <c r="AW897"/>
      <c r="AX897"/>
      <c r="AY897"/>
      <c r="AZ897"/>
      <c r="BA897"/>
      <c r="BB897"/>
      <c r="BC897"/>
      <c r="BD897"/>
      <c r="BE897"/>
      <c r="BF897"/>
      <c r="BG897"/>
      <c r="BH897"/>
      <c r="BI897"/>
      <c r="BJ897"/>
      <c r="BK897"/>
      <c r="BL897"/>
      <c r="BM897"/>
      <c r="BN897"/>
      <c r="BO897"/>
      <c r="BP897"/>
      <c r="BQ897"/>
      <c r="BR897"/>
      <c r="BS897"/>
      <c r="BT897"/>
      <c r="BU897"/>
      <c r="BV897"/>
      <c r="BW897"/>
      <c r="BX897"/>
      <c r="BY897"/>
      <c r="BZ897"/>
    </row>
    <row r="898" spans="4:78" x14ac:dyDescent="0.25">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c r="AL898"/>
      <c r="AM898"/>
      <c r="AN898"/>
      <c r="AO898"/>
      <c r="AP898"/>
      <c r="AQ898"/>
      <c r="AR898"/>
      <c r="AS898"/>
      <c r="AT898"/>
      <c r="AU898"/>
      <c r="AV898"/>
      <c r="AW898"/>
      <c r="AX898"/>
      <c r="AY898"/>
      <c r="AZ898"/>
      <c r="BA898"/>
      <c r="BB898"/>
      <c r="BC898"/>
      <c r="BD898"/>
      <c r="BE898"/>
      <c r="BF898"/>
      <c r="BG898"/>
      <c r="BH898"/>
      <c r="BI898"/>
      <c r="BJ898"/>
      <c r="BK898"/>
      <c r="BL898"/>
      <c r="BM898"/>
      <c r="BN898"/>
      <c r="BO898"/>
      <c r="BP898"/>
      <c r="BQ898"/>
      <c r="BR898"/>
      <c r="BS898"/>
      <c r="BT898"/>
      <c r="BU898"/>
      <c r="BV898"/>
      <c r="BW898"/>
      <c r="BX898"/>
      <c r="BY898"/>
      <c r="BZ898"/>
    </row>
    <row r="899" spans="4:78" x14ac:dyDescent="0.25">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c r="AL899"/>
      <c r="AM899"/>
      <c r="AN899"/>
      <c r="AO899"/>
      <c r="AP899"/>
      <c r="AQ899"/>
      <c r="AR899"/>
      <c r="AS899"/>
      <c r="AT899"/>
      <c r="AU899"/>
      <c r="AV899"/>
      <c r="AW899"/>
      <c r="AX899"/>
      <c r="AY899"/>
      <c r="AZ899"/>
      <c r="BA899"/>
      <c r="BB899"/>
      <c r="BC899"/>
      <c r="BD899"/>
      <c r="BE899"/>
      <c r="BF899"/>
      <c r="BG899"/>
      <c r="BH899"/>
      <c r="BI899"/>
      <c r="BJ899"/>
      <c r="BK899"/>
      <c r="BL899"/>
      <c r="BM899"/>
      <c r="BN899"/>
      <c r="BO899"/>
      <c r="BP899"/>
      <c r="BQ899"/>
      <c r="BR899"/>
      <c r="BS899"/>
      <c r="BT899"/>
      <c r="BU899"/>
      <c r="BV899"/>
      <c r="BW899"/>
      <c r="BX899"/>
      <c r="BY899"/>
      <c r="BZ899"/>
    </row>
    <row r="900" spans="4:78" x14ac:dyDescent="0.25">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c r="AL900"/>
      <c r="AM900"/>
      <c r="AN900"/>
      <c r="AO900"/>
      <c r="AP900"/>
      <c r="AQ900"/>
      <c r="AR900"/>
      <c r="AS900"/>
      <c r="AT900"/>
      <c r="AU900"/>
      <c r="AV900"/>
      <c r="AW900"/>
      <c r="AX900"/>
      <c r="AY900"/>
      <c r="AZ900"/>
      <c r="BA900"/>
      <c r="BB900"/>
      <c r="BC900"/>
      <c r="BD900"/>
      <c r="BE900"/>
      <c r="BF900"/>
      <c r="BG900"/>
      <c r="BH900"/>
      <c r="BI900"/>
      <c r="BJ900"/>
      <c r="BK900"/>
      <c r="BL900"/>
      <c r="BM900"/>
      <c r="BN900"/>
      <c r="BO900"/>
      <c r="BP900"/>
      <c r="BQ900"/>
      <c r="BR900"/>
      <c r="BS900"/>
      <c r="BT900"/>
      <c r="BU900"/>
      <c r="BV900"/>
      <c r="BW900"/>
      <c r="BX900"/>
      <c r="BY900"/>
      <c r="BZ900"/>
    </row>
    <row r="901" spans="4:78" x14ac:dyDescent="0.25">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c r="AL901"/>
      <c r="AM901"/>
      <c r="AN901"/>
      <c r="AO901"/>
      <c r="AP901"/>
      <c r="AQ901"/>
      <c r="AR901"/>
      <c r="AS901"/>
      <c r="AT901"/>
      <c r="AU901"/>
      <c r="AV901"/>
      <c r="AW901"/>
      <c r="AX901"/>
      <c r="AY901"/>
      <c r="AZ901"/>
      <c r="BA901"/>
      <c r="BB901"/>
      <c r="BC901"/>
      <c r="BD901"/>
      <c r="BE901"/>
      <c r="BF901"/>
      <c r="BG901"/>
      <c r="BH901"/>
      <c r="BI901"/>
      <c r="BJ901"/>
      <c r="BK901"/>
      <c r="BL901"/>
      <c r="BM901"/>
      <c r="BN901"/>
      <c r="BO901"/>
      <c r="BP901"/>
      <c r="BQ901"/>
      <c r="BR901"/>
      <c r="BS901"/>
      <c r="BT901"/>
      <c r="BU901"/>
      <c r="BV901"/>
      <c r="BW901"/>
      <c r="BX901"/>
      <c r="BY901"/>
      <c r="BZ901"/>
    </row>
    <row r="902" spans="4:78" x14ac:dyDescent="0.25">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c r="AL902"/>
      <c r="AM902"/>
      <c r="AN902"/>
      <c r="AO902"/>
      <c r="AP902"/>
      <c r="AQ902"/>
      <c r="AR902"/>
      <c r="AS902"/>
      <c r="AT902"/>
      <c r="AU902"/>
      <c r="AV902"/>
      <c r="AW902"/>
      <c r="AX902"/>
      <c r="AY902"/>
      <c r="AZ902"/>
      <c r="BA902"/>
      <c r="BB902"/>
      <c r="BC902"/>
      <c r="BD902"/>
      <c r="BE902"/>
      <c r="BF902"/>
      <c r="BG902"/>
      <c r="BH902"/>
      <c r="BI902"/>
      <c r="BJ902"/>
      <c r="BK902"/>
      <c r="BL902"/>
      <c r="BM902"/>
      <c r="BN902"/>
      <c r="BO902"/>
      <c r="BP902"/>
      <c r="BQ902"/>
      <c r="BR902"/>
      <c r="BS902"/>
      <c r="BT902"/>
      <c r="BU902"/>
      <c r="BV902"/>
      <c r="BW902"/>
      <c r="BX902"/>
      <c r="BY902"/>
      <c r="BZ902"/>
    </row>
    <row r="903" spans="4:78" x14ac:dyDescent="0.25">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c r="AL903"/>
      <c r="AM903"/>
      <c r="AN903"/>
      <c r="AO903"/>
      <c r="AP903"/>
      <c r="AQ903"/>
      <c r="AR903"/>
      <c r="AS903"/>
      <c r="AT903"/>
      <c r="AU903"/>
      <c r="AV903"/>
      <c r="AW903"/>
      <c r="AX903"/>
      <c r="AY903"/>
      <c r="AZ903"/>
      <c r="BA903"/>
      <c r="BB903"/>
      <c r="BC903"/>
      <c r="BD903"/>
      <c r="BE903"/>
      <c r="BF903"/>
      <c r="BG903"/>
      <c r="BH903"/>
      <c r="BI903"/>
      <c r="BJ903"/>
      <c r="BK903"/>
      <c r="BL903"/>
      <c r="BM903"/>
      <c r="BN903"/>
      <c r="BO903"/>
      <c r="BP903"/>
      <c r="BQ903"/>
      <c r="BR903"/>
      <c r="BS903"/>
      <c r="BT903"/>
      <c r="BU903"/>
      <c r="BV903"/>
      <c r="BW903"/>
      <c r="BX903"/>
      <c r="BY903"/>
      <c r="BZ903"/>
    </row>
    <row r="904" spans="4:78" x14ac:dyDescent="0.25">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c r="AL904"/>
      <c r="AM904"/>
      <c r="AN904"/>
      <c r="AO904"/>
      <c r="AP904"/>
      <c r="AQ904"/>
      <c r="AR904"/>
      <c r="AS904"/>
      <c r="AT904"/>
      <c r="AU904"/>
      <c r="AV904"/>
      <c r="AW904"/>
      <c r="AX904"/>
      <c r="AY904"/>
      <c r="AZ904"/>
      <c r="BA904"/>
      <c r="BB904"/>
      <c r="BC904"/>
      <c r="BD904"/>
      <c r="BE904"/>
      <c r="BF904"/>
      <c r="BG904"/>
      <c r="BH904"/>
      <c r="BI904"/>
      <c r="BJ904"/>
      <c r="BK904"/>
      <c r="BL904"/>
      <c r="BM904"/>
      <c r="BN904"/>
      <c r="BO904"/>
      <c r="BP904"/>
      <c r="BQ904"/>
      <c r="BR904"/>
      <c r="BS904"/>
      <c r="BT904"/>
      <c r="BU904"/>
      <c r="BV904"/>
      <c r="BW904"/>
      <c r="BX904"/>
      <c r="BY904"/>
      <c r="BZ904"/>
    </row>
    <row r="905" spans="4:78" x14ac:dyDescent="0.2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c r="AL905"/>
      <c r="AM905"/>
      <c r="AN905"/>
      <c r="AO905"/>
      <c r="AP905"/>
      <c r="AQ905"/>
      <c r="AR905"/>
      <c r="AS905"/>
      <c r="AT905"/>
      <c r="AU905"/>
      <c r="AV905"/>
      <c r="AW905"/>
      <c r="AX905"/>
      <c r="AY905"/>
      <c r="AZ905"/>
      <c r="BA905"/>
      <c r="BB905"/>
      <c r="BC905"/>
      <c r="BD905"/>
      <c r="BE905"/>
      <c r="BF905"/>
      <c r="BG905"/>
      <c r="BH905"/>
      <c r="BI905"/>
      <c r="BJ905"/>
      <c r="BK905"/>
      <c r="BL905"/>
      <c r="BM905"/>
      <c r="BN905"/>
      <c r="BO905"/>
      <c r="BP905"/>
      <c r="BQ905"/>
      <c r="BR905"/>
      <c r="BS905"/>
      <c r="BT905"/>
      <c r="BU905"/>
      <c r="BV905"/>
      <c r="BW905"/>
      <c r="BX905"/>
      <c r="BY905"/>
      <c r="BZ905"/>
    </row>
    <row r="906" spans="4:78" x14ac:dyDescent="0.25">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c r="AL906"/>
      <c r="AM906"/>
      <c r="AN906"/>
      <c r="AO906"/>
      <c r="AP906"/>
      <c r="AQ906"/>
      <c r="AR906"/>
      <c r="AS906"/>
      <c r="AT906"/>
      <c r="AU906"/>
      <c r="AV906"/>
      <c r="AW906"/>
      <c r="AX906"/>
      <c r="AY906"/>
      <c r="AZ906"/>
      <c r="BA906"/>
      <c r="BB906"/>
      <c r="BC906"/>
      <c r="BD906"/>
      <c r="BE906"/>
      <c r="BF906"/>
      <c r="BG906"/>
      <c r="BH906"/>
      <c r="BI906"/>
      <c r="BJ906"/>
      <c r="BK906"/>
      <c r="BL906"/>
      <c r="BM906"/>
      <c r="BN906"/>
      <c r="BO906"/>
      <c r="BP906"/>
      <c r="BQ906"/>
      <c r="BR906"/>
      <c r="BS906"/>
      <c r="BT906"/>
      <c r="BU906"/>
      <c r="BV906"/>
      <c r="BW906"/>
      <c r="BX906"/>
      <c r="BY906"/>
      <c r="BZ906"/>
    </row>
    <row r="907" spans="4:78" x14ac:dyDescent="0.25">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c r="AL907"/>
      <c r="AM907"/>
      <c r="AN907"/>
      <c r="AO907"/>
      <c r="AP907"/>
      <c r="AQ907"/>
      <c r="AR907"/>
      <c r="AS907"/>
      <c r="AT907"/>
      <c r="AU907"/>
      <c r="AV907"/>
      <c r="AW907"/>
      <c r="AX907"/>
      <c r="AY907"/>
      <c r="AZ907"/>
      <c r="BA907"/>
      <c r="BB907"/>
      <c r="BC907"/>
      <c r="BD907"/>
      <c r="BE907"/>
      <c r="BF907"/>
      <c r="BG907"/>
      <c r="BH907"/>
      <c r="BI907"/>
      <c r="BJ907"/>
      <c r="BK907"/>
      <c r="BL907"/>
      <c r="BM907"/>
      <c r="BN907"/>
      <c r="BO907"/>
      <c r="BP907"/>
      <c r="BQ907"/>
      <c r="BR907"/>
      <c r="BS907"/>
      <c r="BT907"/>
      <c r="BU907"/>
      <c r="BV907"/>
      <c r="BW907"/>
      <c r="BX907"/>
      <c r="BY907"/>
      <c r="BZ907"/>
    </row>
    <row r="908" spans="4:78" x14ac:dyDescent="0.25">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c r="AL908"/>
      <c r="AM908"/>
      <c r="AN908"/>
      <c r="AO908"/>
      <c r="AP908"/>
      <c r="AQ908"/>
      <c r="AR908"/>
      <c r="AS908"/>
      <c r="AT908"/>
      <c r="AU908"/>
      <c r="AV908"/>
      <c r="AW908"/>
      <c r="AX908"/>
      <c r="AY908"/>
      <c r="AZ908"/>
      <c r="BA908"/>
      <c r="BB908"/>
      <c r="BC908"/>
      <c r="BD908"/>
      <c r="BE908"/>
      <c r="BF908"/>
      <c r="BG908"/>
      <c r="BH908"/>
      <c r="BI908"/>
      <c r="BJ908"/>
      <c r="BK908"/>
      <c r="BL908"/>
      <c r="BM908"/>
      <c r="BN908"/>
      <c r="BO908"/>
      <c r="BP908"/>
      <c r="BQ908"/>
      <c r="BR908"/>
      <c r="BS908"/>
      <c r="BT908"/>
      <c r="BU908"/>
      <c r="BV908"/>
      <c r="BW908"/>
      <c r="BX908"/>
      <c r="BY908"/>
      <c r="BZ908"/>
    </row>
    <row r="909" spans="4:78" x14ac:dyDescent="0.25">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c r="AL909"/>
      <c r="AM909"/>
      <c r="AN909"/>
      <c r="AO909"/>
      <c r="AP909"/>
      <c r="AQ909"/>
      <c r="AR909"/>
      <c r="AS909"/>
      <c r="AT909"/>
      <c r="AU909"/>
      <c r="AV909"/>
      <c r="AW909"/>
      <c r="AX909"/>
      <c r="AY909"/>
      <c r="AZ909"/>
      <c r="BA909"/>
      <c r="BB909"/>
      <c r="BC909"/>
      <c r="BD909"/>
      <c r="BE909"/>
      <c r="BF909"/>
      <c r="BG909"/>
      <c r="BH909"/>
      <c r="BI909"/>
      <c r="BJ909"/>
      <c r="BK909"/>
      <c r="BL909"/>
      <c r="BM909"/>
      <c r="BN909"/>
      <c r="BO909"/>
      <c r="BP909"/>
      <c r="BQ909"/>
      <c r="BR909"/>
      <c r="BS909"/>
      <c r="BT909"/>
      <c r="BU909"/>
      <c r="BV909"/>
      <c r="BW909"/>
      <c r="BX909"/>
      <c r="BY909"/>
      <c r="BZ909"/>
    </row>
    <row r="910" spans="4:78" x14ac:dyDescent="0.25">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c r="AL910"/>
      <c r="AM910"/>
      <c r="AN910"/>
      <c r="AO910"/>
      <c r="AP910"/>
      <c r="AQ910"/>
      <c r="AR910"/>
      <c r="AS910"/>
      <c r="AT910"/>
      <c r="AU910"/>
      <c r="AV910"/>
      <c r="AW910"/>
      <c r="AX910"/>
      <c r="AY910"/>
      <c r="AZ910"/>
      <c r="BA910"/>
      <c r="BB910"/>
      <c r="BC910"/>
      <c r="BD910"/>
      <c r="BE910"/>
      <c r="BF910"/>
      <c r="BG910"/>
      <c r="BH910"/>
      <c r="BI910"/>
      <c r="BJ910"/>
      <c r="BK910"/>
      <c r="BL910"/>
      <c r="BM910"/>
      <c r="BN910"/>
      <c r="BO910"/>
      <c r="BP910"/>
      <c r="BQ910"/>
      <c r="BR910"/>
      <c r="BS910"/>
      <c r="BT910"/>
      <c r="BU910"/>
      <c r="BV910"/>
      <c r="BW910"/>
      <c r="BX910"/>
      <c r="BY910"/>
      <c r="BZ910"/>
    </row>
    <row r="911" spans="4:78" x14ac:dyDescent="0.25">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c r="AL911"/>
      <c r="AM911"/>
      <c r="AN911"/>
      <c r="AO911"/>
      <c r="AP911"/>
      <c r="AQ911"/>
      <c r="AR911"/>
      <c r="AS911"/>
      <c r="AT911"/>
      <c r="AU911"/>
      <c r="AV911"/>
      <c r="AW911"/>
      <c r="AX911"/>
      <c r="AY911"/>
      <c r="AZ911"/>
      <c r="BA911"/>
      <c r="BB911"/>
      <c r="BC911"/>
      <c r="BD911"/>
      <c r="BE911"/>
      <c r="BF911"/>
      <c r="BG911"/>
      <c r="BH911"/>
      <c r="BI911"/>
      <c r="BJ911"/>
      <c r="BK911"/>
      <c r="BL911"/>
      <c r="BM911"/>
      <c r="BN911"/>
      <c r="BO911"/>
      <c r="BP911"/>
      <c r="BQ911"/>
      <c r="BR911"/>
      <c r="BS911"/>
      <c r="BT911"/>
      <c r="BU911"/>
      <c r="BV911"/>
      <c r="BW911"/>
      <c r="BX911"/>
      <c r="BY911"/>
      <c r="BZ911"/>
    </row>
    <row r="912" spans="4:78" x14ac:dyDescent="0.25">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c r="AL912"/>
      <c r="AM912"/>
      <c r="AN912"/>
      <c r="AO912"/>
      <c r="AP912"/>
      <c r="AQ912"/>
      <c r="AR912"/>
      <c r="AS912"/>
      <c r="AT912"/>
      <c r="AU912"/>
      <c r="AV912"/>
      <c r="AW912"/>
      <c r="AX912"/>
      <c r="AY912"/>
      <c r="AZ912"/>
      <c r="BA912"/>
      <c r="BB912"/>
      <c r="BC912"/>
      <c r="BD912"/>
      <c r="BE912"/>
      <c r="BF912"/>
      <c r="BG912"/>
      <c r="BH912"/>
      <c r="BI912"/>
      <c r="BJ912"/>
      <c r="BK912"/>
      <c r="BL912"/>
      <c r="BM912"/>
      <c r="BN912"/>
      <c r="BO912"/>
      <c r="BP912"/>
      <c r="BQ912"/>
      <c r="BR912"/>
      <c r="BS912"/>
      <c r="BT912"/>
      <c r="BU912"/>
      <c r="BV912"/>
      <c r="BW912"/>
      <c r="BX912"/>
      <c r="BY912"/>
      <c r="BZ912"/>
    </row>
    <row r="913" spans="4:78" x14ac:dyDescent="0.25">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c r="AL913"/>
      <c r="AM913"/>
      <c r="AN913"/>
      <c r="AO913"/>
      <c r="AP913"/>
      <c r="AQ913"/>
      <c r="AR913"/>
      <c r="AS913"/>
      <c r="AT913"/>
      <c r="AU913"/>
      <c r="AV913"/>
      <c r="AW913"/>
      <c r="AX913"/>
      <c r="AY913"/>
      <c r="AZ913"/>
      <c r="BA913"/>
      <c r="BB913"/>
      <c r="BC913"/>
      <c r="BD913"/>
      <c r="BE913"/>
      <c r="BF913"/>
      <c r="BG913"/>
      <c r="BH913"/>
      <c r="BI913"/>
      <c r="BJ913"/>
      <c r="BK913"/>
      <c r="BL913"/>
      <c r="BM913"/>
      <c r="BN913"/>
      <c r="BO913"/>
      <c r="BP913"/>
      <c r="BQ913"/>
      <c r="BR913"/>
      <c r="BS913"/>
      <c r="BT913"/>
      <c r="BU913"/>
      <c r="BV913"/>
      <c r="BW913"/>
      <c r="BX913"/>
      <c r="BY913"/>
      <c r="BZ913"/>
    </row>
    <row r="914" spans="4:78" x14ac:dyDescent="0.25">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c r="AL914"/>
      <c r="AM914"/>
      <c r="AN914"/>
      <c r="AO914"/>
      <c r="AP914"/>
      <c r="AQ914"/>
      <c r="AR914"/>
      <c r="AS914"/>
      <c r="AT914"/>
      <c r="AU914"/>
      <c r="AV914"/>
      <c r="AW914"/>
      <c r="AX914"/>
      <c r="AY914"/>
      <c r="AZ914"/>
      <c r="BA914"/>
      <c r="BB914"/>
      <c r="BC914"/>
      <c r="BD914"/>
      <c r="BE914"/>
      <c r="BF914"/>
      <c r="BG914"/>
      <c r="BH914"/>
      <c r="BI914"/>
      <c r="BJ914"/>
      <c r="BK914"/>
      <c r="BL914"/>
      <c r="BM914"/>
      <c r="BN914"/>
      <c r="BO914"/>
      <c r="BP914"/>
      <c r="BQ914"/>
      <c r="BR914"/>
      <c r="BS914"/>
      <c r="BT914"/>
      <c r="BU914"/>
      <c r="BV914"/>
      <c r="BW914"/>
      <c r="BX914"/>
      <c r="BY914"/>
      <c r="BZ914"/>
    </row>
    <row r="915" spans="4:78" x14ac:dyDescent="0.2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c r="AL915"/>
      <c r="AM915"/>
      <c r="AN915"/>
      <c r="AO915"/>
      <c r="AP915"/>
      <c r="AQ915"/>
      <c r="AR915"/>
      <c r="AS915"/>
      <c r="AT915"/>
      <c r="AU915"/>
      <c r="AV915"/>
      <c r="AW915"/>
      <c r="AX915"/>
      <c r="AY915"/>
      <c r="AZ915"/>
      <c r="BA915"/>
      <c r="BB915"/>
      <c r="BC915"/>
      <c r="BD915"/>
      <c r="BE915"/>
      <c r="BF915"/>
      <c r="BG915"/>
      <c r="BH915"/>
      <c r="BI915"/>
      <c r="BJ915"/>
      <c r="BK915"/>
      <c r="BL915"/>
      <c r="BM915"/>
      <c r="BN915"/>
      <c r="BO915"/>
      <c r="BP915"/>
      <c r="BQ915"/>
      <c r="BR915"/>
      <c r="BS915"/>
      <c r="BT915"/>
      <c r="BU915"/>
      <c r="BV915"/>
      <c r="BW915"/>
      <c r="BX915"/>
      <c r="BY915"/>
      <c r="BZ915"/>
    </row>
    <row r="916" spans="4:78" x14ac:dyDescent="0.25">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c r="AL916"/>
      <c r="AM916"/>
      <c r="AN916"/>
      <c r="AO916"/>
      <c r="AP916"/>
      <c r="AQ916"/>
      <c r="AR916"/>
      <c r="AS916"/>
      <c r="AT916"/>
      <c r="AU916"/>
      <c r="AV916"/>
      <c r="AW916"/>
      <c r="AX916"/>
      <c r="AY916"/>
      <c r="AZ916"/>
      <c r="BA916"/>
      <c r="BB916"/>
      <c r="BC916"/>
      <c r="BD916"/>
      <c r="BE916"/>
      <c r="BF916"/>
      <c r="BG916"/>
      <c r="BH916"/>
      <c r="BI916"/>
      <c r="BJ916"/>
      <c r="BK916"/>
      <c r="BL916"/>
      <c r="BM916"/>
      <c r="BN916"/>
      <c r="BO916"/>
      <c r="BP916"/>
      <c r="BQ916"/>
      <c r="BR916"/>
      <c r="BS916"/>
      <c r="BT916"/>
      <c r="BU916"/>
      <c r="BV916"/>
      <c r="BW916"/>
      <c r="BX916"/>
      <c r="BY916"/>
      <c r="BZ916"/>
    </row>
    <row r="917" spans="4:78" x14ac:dyDescent="0.25">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c r="AL917"/>
      <c r="AM917"/>
      <c r="AN917"/>
      <c r="AO917"/>
      <c r="AP917"/>
      <c r="AQ917"/>
      <c r="AR917"/>
      <c r="AS917"/>
      <c r="AT917"/>
      <c r="AU917"/>
      <c r="AV917"/>
      <c r="AW917"/>
      <c r="AX917"/>
      <c r="AY917"/>
      <c r="AZ917"/>
      <c r="BA917"/>
      <c r="BB917"/>
      <c r="BC917"/>
      <c r="BD917"/>
      <c r="BE917"/>
      <c r="BF917"/>
      <c r="BG917"/>
      <c r="BH917"/>
      <c r="BI917"/>
      <c r="BJ917"/>
      <c r="BK917"/>
      <c r="BL917"/>
      <c r="BM917"/>
      <c r="BN917"/>
      <c r="BO917"/>
      <c r="BP917"/>
      <c r="BQ917"/>
      <c r="BR917"/>
      <c r="BS917"/>
      <c r="BT917"/>
      <c r="BU917"/>
      <c r="BV917"/>
      <c r="BW917"/>
      <c r="BX917"/>
      <c r="BY917"/>
      <c r="BZ917"/>
    </row>
    <row r="918" spans="4:78" x14ac:dyDescent="0.25">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c r="AL918"/>
      <c r="AM918"/>
      <c r="AN918"/>
      <c r="AO918"/>
      <c r="AP918"/>
      <c r="AQ918"/>
      <c r="AR918"/>
      <c r="AS918"/>
      <c r="AT918"/>
      <c r="AU918"/>
      <c r="AV918"/>
      <c r="AW918"/>
      <c r="AX918"/>
      <c r="AY918"/>
      <c r="AZ918"/>
      <c r="BA918"/>
      <c r="BB918"/>
      <c r="BC918"/>
      <c r="BD918"/>
      <c r="BE918"/>
      <c r="BF918"/>
      <c r="BG918"/>
      <c r="BH918"/>
      <c r="BI918"/>
      <c r="BJ918"/>
      <c r="BK918"/>
      <c r="BL918"/>
      <c r="BM918"/>
      <c r="BN918"/>
      <c r="BO918"/>
      <c r="BP918"/>
      <c r="BQ918"/>
      <c r="BR918"/>
      <c r="BS918"/>
      <c r="BT918"/>
      <c r="BU918"/>
      <c r="BV918"/>
      <c r="BW918"/>
      <c r="BX918"/>
      <c r="BY918"/>
      <c r="BZ918"/>
    </row>
    <row r="919" spans="4:78" x14ac:dyDescent="0.25">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c r="AL919"/>
      <c r="AM919"/>
      <c r="AN919"/>
      <c r="AO919"/>
      <c r="AP919"/>
      <c r="AQ919"/>
      <c r="AR919"/>
      <c r="AS919"/>
      <c r="AT919"/>
      <c r="AU919"/>
      <c r="AV919"/>
      <c r="AW919"/>
      <c r="AX919"/>
      <c r="AY919"/>
      <c r="AZ919"/>
      <c r="BA919"/>
      <c r="BB919"/>
      <c r="BC919"/>
      <c r="BD919"/>
      <c r="BE919"/>
      <c r="BF919"/>
      <c r="BG919"/>
      <c r="BH919"/>
      <c r="BI919"/>
      <c r="BJ919"/>
      <c r="BK919"/>
      <c r="BL919"/>
      <c r="BM919"/>
      <c r="BN919"/>
      <c r="BO919"/>
      <c r="BP919"/>
      <c r="BQ919"/>
      <c r="BR919"/>
      <c r="BS919"/>
      <c r="BT919"/>
      <c r="BU919"/>
      <c r="BV919"/>
      <c r="BW919"/>
      <c r="BX919"/>
      <c r="BY919"/>
      <c r="BZ919"/>
    </row>
    <row r="920" spans="4:78" x14ac:dyDescent="0.25">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c r="AL920"/>
      <c r="AM920"/>
      <c r="AN920"/>
      <c r="AO920"/>
      <c r="AP920"/>
      <c r="AQ920"/>
      <c r="AR920"/>
      <c r="AS920"/>
      <c r="AT920"/>
      <c r="AU920"/>
      <c r="AV920"/>
      <c r="AW920"/>
      <c r="AX920"/>
      <c r="AY920"/>
      <c r="AZ920"/>
      <c r="BA920"/>
      <c r="BB920"/>
      <c r="BC920"/>
      <c r="BD920"/>
      <c r="BE920"/>
      <c r="BF920"/>
      <c r="BG920"/>
      <c r="BH920"/>
      <c r="BI920"/>
      <c r="BJ920"/>
      <c r="BK920"/>
      <c r="BL920"/>
      <c r="BM920"/>
      <c r="BN920"/>
      <c r="BO920"/>
      <c r="BP920"/>
      <c r="BQ920"/>
      <c r="BR920"/>
      <c r="BS920"/>
      <c r="BT920"/>
      <c r="BU920"/>
      <c r="BV920"/>
      <c r="BW920"/>
      <c r="BX920"/>
      <c r="BY920"/>
      <c r="BZ920"/>
    </row>
    <row r="921" spans="4:78" x14ac:dyDescent="0.25">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c r="AL921"/>
      <c r="AM921"/>
      <c r="AN921"/>
      <c r="AO921"/>
      <c r="AP921"/>
      <c r="AQ921"/>
      <c r="AR921"/>
      <c r="AS921"/>
      <c r="AT921"/>
      <c r="AU921"/>
      <c r="AV921"/>
      <c r="AW921"/>
      <c r="AX921"/>
      <c r="AY921"/>
      <c r="AZ921"/>
      <c r="BA921"/>
      <c r="BB921"/>
      <c r="BC921"/>
      <c r="BD921"/>
      <c r="BE921"/>
      <c r="BF921"/>
      <c r="BG921"/>
      <c r="BH921"/>
      <c r="BI921"/>
      <c r="BJ921"/>
      <c r="BK921"/>
      <c r="BL921"/>
      <c r="BM921"/>
      <c r="BN921"/>
      <c r="BO921"/>
      <c r="BP921"/>
      <c r="BQ921"/>
      <c r="BR921"/>
      <c r="BS921"/>
      <c r="BT921"/>
      <c r="BU921"/>
      <c r="BV921"/>
      <c r="BW921"/>
      <c r="BX921"/>
      <c r="BY921"/>
      <c r="BZ921"/>
    </row>
    <row r="922" spans="4:78" x14ac:dyDescent="0.25">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c r="AL922"/>
      <c r="AM922"/>
      <c r="AN922"/>
      <c r="AO922"/>
      <c r="AP922"/>
      <c r="AQ922"/>
      <c r="AR922"/>
      <c r="AS922"/>
      <c r="AT922"/>
      <c r="AU922"/>
      <c r="AV922"/>
      <c r="AW922"/>
      <c r="AX922"/>
      <c r="AY922"/>
      <c r="AZ922"/>
      <c r="BA922"/>
      <c r="BB922"/>
      <c r="BC922"/>
      <c r="BD922"/>
      <c r="BE922"/>
      <c r="BF922"/>
      <c r="BG922"/>
      <c r="BH922"/>
      <c r="BI922"/>
      <c r="BJ922"/>
      <c r="BK922"/>
      <c r="BL922"/>
      <c r="BM922"/>
      <c r="BN922"/>
      <c r="BO922"/>
      <c r="BP922"/>
      <c r="BQ922"/>
      <c r="BR922"/>
      <c r="BS922"/>
      <c r="BT922"/>
      <c r="BU922"/>
      <c r="BV922"/>
      <c r="BW922"/>
      <c r="BX922"/>
      <c r="BY922"/>
      <c r="BZ922"/>
    </row>
    <row r="923" spans="4:78" x14ac:dyDescent="0.25">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c r="AL923"/>
      <c r="AM923"/>
      <c r="AN923"/>
      <c r="AO923"/>
      <c r="AP923"/>
      <c r="AQ923"/>
      <c r="AR923"/>
      <c r="AS923"/>
      <c r="AT923"/>
      <c r="AU923"/>
      <c r="AV923"/>
      <c r="AW923"/>
      <c r="AX923"/>
      <c r="AY923"/>
      <c r="AZ923"/>
      <c r="BA923"/>
      <c r="BB923"/>
      <c r="BC923"/>
      <c r="BD923"/>
      <c r="BE923"/>
      <c r="BF923"/>
      <c r="BG923"/>
      <c r="BH923"/>
      <c r="BI923"/>
      <c r="BJ923"/>
      <c r="BK923"/>
      <c r="BL923"/>
      <c r="BM923"/>
      <c r="BN923"/>
      <c r="BO923"/>
      <c r="BP923"/>
      <c r="BQ923"/>
      <c r="BR923"/>
      <c r="BS923"/>
      <c r="BT923"/>
      <c r="BU923"/>
      <c r="BV923"/>
      <c r="BW923"/>
      <c r="BX923"/>
      <c r="BY923"/>
      <c r="BZ923"/>
    </row>
    <row r="924" spans="4:78" x14ac:dyDescent="0.25">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c r="AL924"/>
      <c r="AM924"/>
      <c r="AN924"/>
      <c r="AO924"/>
      <c r="AP924"/>
      <c r="AQ924"/>
      <c r="AR924"/>
      <c r="AS924"/>
      <c r="AT924"/>
      <c r="AU924"/>
      <c r="AV924"/>
      <c r="AW924"/>
      <c r="AX924"/>
      <c r="AY924"/>
      <c r="AZ924"/>
      <c r="BA924"/>
      <c r="BB924"/>
      <c r="BC924"/>
      <c r="BD924"/>
      <c r="BE924"/>
      <c r="BF924"/>
      <c r="BG924"/>
      <c r="BH924"/>
      <c r="BI924"/>
      <c r="BJ924"/>
      <c r="BK924"/>
      <c r="BL924"/>
      <c r="BM924"/>
      <c r="BN924"/>
      <c r="BO924"/>
      <c r="BP924"/>
      <c r="BQ924"/>
      <c r="BR924"/>
      <c r="BS924"/>
      <c r="BT924"/>
      <c r="BU924"/>
      <c r="BV924"/>
      <c r="BW924"/>
      <c r="BX924"/>
      <c r="BY924"/>
      <c r="BZ924"/>
    </row>
    <row r="925" spans="4:78" x14ac:dyDescent="0.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c r="AL925"/>
      <c r="AM925"/>
      <c r="AN925"/>
      <c r="AO925"/>
      <c r="AP925"/>
      <c r="AQ925"/>
      <c r="AR925"/>
      <c r="AS925"/>
      <c r="AT925"/>
      <c r="AU925"/>
      <c r="AV925"/>
      <c r="AW925"/>
      <c r="AX925"/>
      <c r="AY925"/>
      <c r="AZ925"/>
      <c r="BA925"/>
      <c r="BB925"/>
      <c r="BC925"/>
      <c r="BD925"/>
      <c r="BE925"/>
      <c r="BF925"/>
      <c r="BG925"/>
      <c r="BH925"/>
      <c r="BI925"/>
      <c r="BJ925"/>
      <c r="BK925"/>
      <c r="BL925"/>
      <c r="BM925"/>
      <c r="BN925"/>
      <c r="BO925"/>
      <c r="BP925"/>
      <c r="BQ925"/>
      <c r="BR925"/>
      <c r="BS925"/>
      <c r="BT925"/>
      <c r="BU925"/>
      <c r="BV925"/>
      <c r="BW925"/>
      <c r="BX925"/>
      <c r="BY925"/>
      <c r="BZ925"/>
    </row>
    <row r="926" spans="4:78" x14ac:dyDescent="0.25">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c r="AL926"/>
      <c r="AM926"/>
      <c r="AN926"/>
      <c r="AO926"/>
      <c r="AP926"/>
      <c r="AQ926"/>
      <c r="AR926"/>
      <c r="AS926"/>
      <c r="AT926"/>
      <c r="AU926"/>
      <c r="AV926"/>
      <c r="AW926"/>
      <c r="AX926"/>
      <c r="AY926"/>
      <c r="AZ926"/>
      <c r="BA926"/>
      <c r="BB926"/>
      <c r="BC926"/>
      <c r="BD926"/>
      <c r="BE926"/>
      <c r="BF926"/>
      <c r="BG926"/>
      <c r="BH926"/>
      <c r="BI926"/>
      <c r="BJ926"/>
      <c r="BK926"/>
      <c r="BL926"/>
      <c r="BM926"/>
      <c r="BN926"/>
      <c r="BO926"/>
      <c r="BP926"/>
      <c r="BQ926"/>
      <c r="BR926"/>
      <c r="BS926"/>
      <c r="BT926"/>
      <c r="BU926"/>
      <c r="BV926"/>
      <c r="BW926"/>
      <c r="BX926"/>
      <c r="BY926"/>
      <c r="BZ926"/>
    </row>
    <row r="927" spans="4:78" x14ac:dyDescent="0.25">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c r="AL927"/>
      <c r="AM927"/>
      <c r="AN927"/>
      <c r="AO927"/>
      <c r="AP927"/>
      <c r="AQ927"/>
      <c r="AR927"/>
      <c r="AS927"/>
      <c r="AT927"/>
      <c r="AU927"/>
      <c r="AV927"/>
      <c r="AW927"/>
      <c r="AX927"/>
      <c r="AY927"/>
      <c r="AZ927"/>
      <c r="BA927"/>
      <c r="BB927"/>
      <c r="BC927"/>
      <c r="BD927"/>
      <c r="BE927"/>
      <c r="BF927"/>
      <c r="BG927"/>
      <c r="BH927"/>
      <c r="BI927"/>
      <c r="BJ927"/>
      <c r="BK927"/>
      <c r="BL927"/>
      <c r="BM927"/>
      <c r="BN927"/>
      <c r="BO927"/>
      <c r="BP927"/>
      <c r="BQ927"/>
      <c r="BR927"/>
      <c r="BS927"/>
      <c r="BT927"/>
      <c r="BU927"/>
      <c r="BV927"/>
      <c r="BW927"/>
      <c r="BX927"/>
      <c r="BY927"/>
      <c r="BZ927"/>
    </row>
    <row r="928" spans="4:78" x14ac:dyDescent="0.25">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c r="AL928"/>
      <c r="AM928"/>
      <c r="AN928"/>
      <c r="AO928"/>
      <c r="AP928"/>
      <c r="AQ928"/>
      <c r="AR928"/>
      <c r="AS928"/>
      <c r="AT928"/>
      <c r="AU928"/>
      <c r="AV928"/>
      <c r="AW928"/>
      <c r="AX928"/>
      <c r="AY928"/>
      <c r="AZ928"/>
      <c r="BA928"/>
      <c r="BB928"/>
      <c r="BC928"/>
      <c r="BD928"/>
      <c r="BE928"/>
      <c r="BF928"/>
      <c r="BG928"/>
      <c r="BH928"/>
      <c r="BI928"/>
      <c r="BJ928"/>
      <c r="BK928"/>
      <c r="BL928"/>
      <c r="BM928"/>
      <c r="BN928"/>
      <c r="BO928"/>
      <c r="BP928"/>
      <c r="BQ928"/>
      <c r="BR928"/>
      <c r="BS928"/>
      <c r="BT928"/>
      <c r="BU928"/>
      <c r="BV928"/>
      <c r="BW928"/>
      <c r="BX928"/>
      <c r="BY928"/>
      <c r="BZ928"/>
    </row>
    <row r="929" spans="4:78" x14ac:dyDescent="0.25">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row>
    <row r="930" spans="4:78" x14ac:dyDescent="0.25">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row>
    <row r="931" spans="4:78" x14ac:dyDescent="0.25">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row>
    <row r="932" spans="4:78" x14ac:dyDescent="0.25">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row>
    <row r="933" spans="4:78" x14ac:dyDescent="0.25">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row>
    <row r="934" spans="4:78" x14ac:dyDescent="0.25">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row>
    <row r="935" spans="4:78" x14ac:dyDescent="0.2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row>
    <row r="936" spans="4:78" x14ac:dyDescent="0.25">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row>
    <row r="937" spans="4:78" x14ac:dyDescent="0.25">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row>
    <row r="938" spans="4:78" x14ac:dyDescent="0.25">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row>
    <row r="939" spans="4:78" x14ac:dyDescent="0.25">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row>
    <row r="940" spans="4:78" x14ac:dyDescent="0.25">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row>
    <row r="941" spans="4:78" x14ac:dyDescent="0.25">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row>
    <row r="942" spans="4:78" x14ac:dyDescent="0.25">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row>
    <row r="943" spans="4:78" x14ac:dyDescent="0.25">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row>
    <row r="944" spans="4:78" x14ac:dyDescent="0.25">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row>
    <row r="945" spans="4:78" x14ac:dyDescent="0.2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c r="AL945"/>
      <c r="AM945"/>
      <c r="AN945"/>
      <c r="AO945"/>
      <c r="AP945"/>
      <c r="AQ945"/>
      <c r="AR945"/>
      <c r="AS945"/>
      <c r="AT945"/>
      <c r="AU945"/>
      <c r="AV945"/>
      <c r="AW945"/>
      <c r="AX945"/>
      <c r="AY945"/>
      <c r="AZ945"/>
      <c r="BA945"/>
      <c r="BB945"/>
      <c r="BC945"/>
      <c r="BD945"/>
      <c r="BE945"/>
      <c r="BF945"/>
      <c r="BG945"/>
      <c r="BH945"/>
      <c r="BI945"/>
      <c r="BJ945"/>
      <c r="BK945"/>
      <c r="BL945"/>
      <c r="BM945"/>
      <c r="BN945"/>
      <c r="BO945"/>
      <c r="BP945"/>
      <c r="BQ945"/>
      <c r="BR945"/>
      <c r="BS945"/>
      <c r="BT945"/>
      <c r="BU945"/>
      <c r="BV945"/>
      <c r="BW945"/>
      <c r="BX945"/>
      <c r="BY945"/>
      <c r="BZ945"/>
    </row>
    <row r="946" spans="4:78" x14ac:dyDescent="0.25">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c r="AL946"/>
      <c r="AM946"/>
      <c r="AN946"/>
      <c r="AO946"/>
      <c r="AP946"/>
      <c r="AQ946"/>
      <c r="AR946"/>
      <c r="AS946"/>
      <c r="AT946"/>
      <c r="AU946"/>
      <c r="AV946"/>
      <c r="AW946"/>
      <c r="AX946"/>
      <c r="AY946"/>
      <c r="AZ946"/>
      <c r="BA946"/>
      <c r="BB946"/>
      <c r="BC946"/>
      <c r="BD946"/>
      <c r="BE946"/>
      <c r="BF946"/>
      <c r="BG946"/>
      <c r="BH946"/>
      <c r="BI946"/>
      <c r="BJ946"/>
      <c r="BK946"/>
      <c r="BL946"/>
      <c r="BM946"/>
      <c r="BN946"/>
      <c r="BO946"/>
      <c r="BP946"/>
      <c r="BQ946"/>
      <c r="BR946"/>
      <c r="BS946"/>
      <c r="BT946"/>
      <c r="BU946"/>
      <c r="BV946"/>
      <c r="BW946"/>
      <c r="BX946"/>
      <c r="BY946"/>
      <c r="BZ946"/>
    </row>
    <row r="947" spans="4:78" x14ac:dyDescent="0.25">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c r="AL947"/>
      <c r="AM947"/>
      <c r="AN947"/>
      <c r="AO947"/>
      <c r="AP947"/>
      <c r="AQ947"/>
      <c r="AR947"/>
      <c r="AS947"/>
      <c r="AT947"/>
      <c r="AU947"/>
      <c r="AV947"/>
      <c r="AW947"/>
      <c r="AX947"/>
      <c r="AY947"/>
      <c r="AZ947"/>
      <c r="BA947"/>
      <c r="BB947"/>
      <c r="BC947"/>
      <c r="BD947"/>
      <c r="BE947"/>
      <c r="BF947"/>
      <c r="BG947"/>
      <c r="BH947"/>
      <c r="BI947"/>
      <c r="BJ947"/>
      <c r="BK947"/>
      <c r="BL947"/>
      <c r="BM947"/>
      <c r="BN947"/>
      <c r="BO947"/>
      <c r="BP947"/>
      <c r="BQ947"/>
      <c r="BR947"/>
      <c r="BS947"/>
      <c r="BT947"/>
      <c r="BU947"/>
      <c r="BV947"/>
      <c r="BW947"/>
      <c r="BX947"/>
      <c r="BY947"/>
      <c r="BZ947"/>
    </row>
    <row r="948" spans="4:78" x14ac:dyDescent="0.25">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c r="AL948"/>
      <c r="AM948"/>
      <c r="AN948"/>
      <c r="AO948"/>
      <c r="AP948"/>
      <c r="AQ948"/>
      <c r="AR948"/>
      <c r="AS948"/>
      <c r="AT948"/>
      <c r="AU948"/>
      <c r="AV948"/>
      <c r="AW948"/>
      <c r="AX948"/>
      <c r="AY948"/>
      <c r="AZ948"/>
      <c r="BA948"/>
      <c r="BB948"/>
      <c r="BC948"/>
      <c r="BD948"/>
      <c r="BE948"/>
      <c r="BF948"/>
      <c r="BG948"/>
      <c r="BH948"/>
      <c r="BI948"/>
      <c r="BJ948"/>
      <c r="BK948"/>
      <c r="BL948"/>
      <c r="BM948"/>
      <c r="BN948"/>
      <c r="BO948"/>
      <c r="BP948"/>
      <c r="BQ948"/>
      <c r="BR948"/>
      <c r="BS948"/>
      <c r="BT948"/>
      <c r="BU948"/>
      <c r="BV948"/>
      <c r="BW948"/>
      <c r="BX948"/>
      <c r="BY948"/>
      <c r="BZ948"/>
    </row>
    <row r="949" spans="4:78" x14ac:dyDescent="0.25">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c r="AL949"/>
      <c r="AM949"/>
      <c r="AN949"/>
      <c r="AO949"/>
      <c r="AP949"/>
      <c r="AQ949"/>
      <c r="AR949"/>
      <c r="AS949"/>
      <c r="AT949"/>
      <c r="AU949"/>
      <c r="AV949"/>
      <c r="AW949"/>
      <c r="AX949"/>
      <c r="AY949"/>
      <c r="AZ949"/>
      <c r="BA949"/>
      <c r="BB949"/>
      <c r="BC949"/>
      <c r="BD949"/>
      <c r="BE949"/>
      <c r="BF949"/>
      <c r="BG949"/>
      <c r="BH949"/>
      <c r="BI949"/>
      <c r="BJ949"/>
      <c r="BK949"/>
      <c r="BL949"/>
      <c r="BM949"/>
      <c r="BN949"/>
      <c r="BO949"/>
      <c r="BP949"/>
      <c r="BQ949"/>
      <c r="BR949"/>
      <c r="BS949"/>
      <c r="BT949"/>
      <c r="BU949"/>
      <c r="BV949"/>
      <c r="BW949"/>
      <c r="BX949"/>
      <c r="BY949"/>
      <c r="BZ949"/>
    </row>
    <row r="950" spans="4:78" x14ac:dyDescent="0.25">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c r="AL950"/>
      <c r="AM950"/>
      <c r="AN950"/>
      <c r="AO950"/>
      <c r="AP950"/>
      <c r="AQ950"/>
      <c r="AR950"/>
      <c r="AS950"/>
      <c r="AT950"/>
      <c r="AU950"/>
      <c r="AV950"/>
      <c r="AW950"/>
      <c r="AX950"/>
      <c r="AY950"/>
      <c r="AZ950"/>
      <c r="BA950"/>
      <c r="BB950"/>
      <c r="BC950"/>
      <c r="BD950"/>
      <c r="BE950"/>
      <c r="BF950"/>
      <c r="BG950"/>
      <c r="BH950"/>
      <c r="BI950"/>
      <c r="BJ950"/>
      <c r="BK950"/>
      <c r="BL950"/>
      <c r="BM950"/>
      <c r="BN950"/>
      <c r="BO950"/>
      <c r="BP950"/>
      <c r="BQ950"/>
      <c r="BR950"/>
      <c r="BS950"/>
      <c r="BT950"/>
      <c r="BU950"/>
      <c r="BV950"/>
      <c r="BW950"/>
      <c r="BX950"/>
      <c r="BY950"/>
      <c r="BZ950"/>
    </row>
    <row r="951" spans="4:78" x14ac:dyDescent="0.25">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c r="AL951"/>
      <c r="AM951"/>
      <c r="AN951"/>
      <c r="AO951"/>
      <c r="AP951"/>
      <c r="AQ951"/>
      <c r="AR951"/>
      <c r="AS951"/>
      <c r="AT951"/>
      <c r="AU951"/>
      <c r="AV951"/>
      <c r="AW951"/>
      <c r="AX951"/>
      <c r="AY951"/>
      <c r="AZ951"/>
      <c r="BA951"/>
      <c r="BB951"/>
      <c r="BC951"/>
      <c r="BD951"/>
      <c r="BE951"/>
      <c r="BF951"/>
      <c r="BG951"/>
      <c r="BH951"/>
      <c r="BI951"/>
      <c r="BJ951"/>
      <c r="BK951"/>
      <c r="BL951"/>
      <c r="BM951"/>
      <c r="BN951"/>
      <c r="BO951"/>
      <c r="BP951"/>
      <c r="BQ951"/>
      <c r="BR951"/>
      <c r="BS951"/>
      <c r="BT951"/>
      <c r="BU951"/>
      <c r="BV951"/>
      <c r="BW951"/>
      <c r="BX951"/>
      <c r="BY951"/>
      <c r="BZ951"/>
    </row>
    <row r="952" spans="4:78" x14ac:dyDescent="0.25">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c r="AL952"/>
      <c r="AM952"/>
      <c r="AN952"/>
      <c r="AO952"/>
      <c r="AP952"/>
      <c r="AQ952"/>
      <c r="AR952"/>
      <c r="AS952"/>
      <c r="AT952"/>
      <c r="AU952"/>
      <c r="AV952"/>
      <c r="AW952"/>
      <c r="AX952"/>
      <c r="AY952"/>
      <c r="AZ952"/>
      <c r="BA952"/>
      <c r="BB952"/>
      <c r="BC952"/>
      <c r="BD952"/>
      <c r="BE952"/>
      <c r="BF952"/>
      <c r="BG952"/>
      <c r="BH952"/>
      <c r="BI952"/>
      <c r="BJ952"/>
      <c r="BK952"/>
      <c r="BL952"/>
      <c r="BM952"/>
      <c r="BN952"/>
      <c r="BO952"/>
      <c r="BP952"/>
      <c r="BQ952"/>
      <c r="BR952"/>
      <c r="BS952"/>
      <c r="BT952"/>
      <c r="BU952"/>
      <c r="BV952"/>
      <c r="BW952"/>
      <c r="BX952"/>
      <c r="BY952"/>
      <c r="BZ952"/>
    </row>
    <row r="953" spans="4:78" x14ac:dyDescent="0.25">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c r="AL953"/>
      <c r="AM953"/>
      <c r="AN953"/>
      <c r="AO953"/>
      <c r="AP953"/>
      <c r="AQ953"/>
      <c r="AR953"/>
      <c r="AS953"/>
      <c r="AT953"/>
      <c r="AU953"/>
      <c r="AV953"/>
      <c r="AW953"/>
      <c r="AX953"/>
      <c r="AY953"/>
      <c r="AZ953"/>
      <c r="BA953"/>
      <c r="BB953"/>
      <c r="BC953"/>
      <c r="BD953"/>
      <c r="BE953"/>
      <c r="BF953"/>
      <c r="BG953"/>
      <c r="BH953"/>
      <c r="BI953"/>
      <c r="BJ953"/>
      <c r="BK953"/>
      <c r="BL953"/>
      <c r="BM953"/>
      <c r="BN953"/>
      <c r="BO953"/>
      <c r="BP953"/>
      <c r="BQ953"/>
      <c r="BR953"/>
      <c r="BS953"/>
      <c r="BT953"/>
      <c r="BU953"/>
      <c r="BV953"/>
      <c r="BW953"/>
      <c r="BX953"/>
      <c r="BY953"/>
      <c r="BZ953"/>
    </row>
    <row r="954" spans="4:78" x14ac:dyDescent="0.25">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c r="AL954"/>
      <c r="AM954"/>
      <c r="AN954"/>
      <c r="AO954"/>
      <c r="AP954"/>
      <c r="AQ954"/>
      <c r="AR954"/>
      <c r="AS954"/>
      <c r="AT954"/>
      <c r="AU954"/>
      <c r="AV954"/>
      <c r="AW954"/>
      <c r="AX954"/>
      <c r="AY954"/>
      <c r="AZ954"/>
      <c r="BA954"/>
      <c r="BB954"/>
      <c r="BC954"/>
      <c r="BD954"/>
      <c r="BE954"/>
      <c r="BF954"/>
      <c r="BG954"/>
      <c r="BH954"/>
      <c r="BI954"/>
      <c r="BJ954"/>
      <c r="BK954"/>
      <c r="BL954"/>
      <c r="BM954"/>
      <c r="BN954"/>
      <c r="BO954"/>
      <c r="BP954"/>
      <c r="BQ954"/>
      <c r="BR954"/>
      <c r="BS954"/>
      <c r="BT954"/>
      <c r="BU954"/>
      <c r="BV954"/>
      <c r="BW954"/>
      <c r="BX954"/>
      <c r="BY954"/>
      <c r="BZ954"/>
    </row>
    <row r="955" spans="4:78" x14ac:dyDescent="0.2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c r="AL955"/>
      <c r="AM955"/>
      <c r="AN955"/>
      <c r="AO955"/>
      <c r="AP955"/>
      <c r="AQ955"/>
      <c r="AR955"/>
      <c r="AS955"/>
      <c r="AT955"/>
      <c r="AU955"/>
      <c r="AV955"/>
      <c r="AW955"/>
      <c r="AX955"/>
      <c r="AY955"/>
      <c r="AZ955"/>
      <c r="BA955"/>
      <c r="BB955"/>
      <c r="BC955"/>
      <c r="BD955"/>
      <c r="BE955"/>
      <c r="BF955"/>
      <c r="BG955"/>
      <c r="BH955"/>
      <c r="BI955"/>
      <c r="BJ955"/>
      <c r="BK955"/>
      <c r="BL955"/>
      <c r="BM955"/>
      <c r="BN955"/>
      <c r="BO955"/>
      <c r="BP955"/>
      <c r="BQ955"/>
      <c r="BR955"/>
      <c r="BS955"/>
      <c r="BT955"/>
      <c r="BU955"/>
      <c r="BV955"/>
      <c r="BW955"/>
      <c r="BX955"/>
      <c r="BY955"/>
      <c r="BZ955"/>
    </row>
    <row r="956" spans="4:78" x14ac:dyDescent="0.25">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c r="AL956"/>
      <c r="AM956"/>
      <c r="AN956"/>
      <c r="AO956"/>
      <c r="AP956"/>
      <c r="AQ956"/>
      <c r="AR956"/>
      <c r="AS956"/>
      <c r="AT956"/>
      <c r="AU956"/>
      <c r="AV956"/>
      <c r="AW956"/>
      <c r="AX956"/>
      <c r="AY956"/>
      <c r="AZ956"/>
      <c r="BA956"/>
      <c r="BB956"/>
      <c r="BC956"/>
      <c r="BD956"/>
      <c r="BE956"/>
      <c r="BF956"/>
      <c r="BG956"/>
      <c r="BH956"/>
      <c r="BI956"/>
      <c r="BJ956"/>
      <c r="BK956"/>
      <c r="BL956"/>
      <c r="BM956"/>
      <c r="BN956"/>
      <c r="BO956"/>
      <c r="BP956"/>
      <c r="BQ956"/>
      <c r="BR956"/>
      <c r="BS956"/>
      <c r="BT956"/>
      <c r="BU956"/>
      <c r="BV956"/>
      <c r="BW956"/>
      <c r="BX956"/>
      <c r="BY956"/>
      <c r="BZ956"/>
    </row>
    <row r="957" spans="4:78" x14ac:dyDescent="0.25">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c r="AL957"/>
      <c r="AM957"/>
      <c r="AN957"/>
      <c r="AO957"/>
      <c r="AP957"/>
      <c r="AQ957"/>
      <c r="AR957"/>
      <c r="AS957"/>
      <c r="AT957"/>
      <c r="AU957"/>
      <c r="AV957"/>
      <c r="AW957"/>
      <c r="AX957"/>
      <c r="AY957"/>
      <c r="AZ957"/>
      <c r="BA957"/>
      <c r="BB957"/>
      <c r="BC957"/>
      <c r="BD957"/>
      <c r="BE957"/>
      <c r="BF957"/>
      <c r="BG957"/>
      <c r="BH957"/>
      <c r="BI957"/>
      <c r="BJ957"/>
      <c r="BK957"/>
      <c r="BL957"/>
      <c r="BM957"/>
      <c r="BN957"/>
      <c r="BO957"/>
      <c r="BP957"/>
      <c r="BQ957"/>
      <c r="BR957"/>
      <c r="BS957"/>
      <c r="BT957"/>
      <c r="BU957"/>
      <c r="BV957"/>
      <c r="BW957"/>
      <c r="BX957"/>
      <c r="BY957"/>
      <c r="BZ957"/>
    </row>
    <row r="958" spans="4:78" x14ac:dyDescent="0.25">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c r="AL958"/>
      <c r="AM958"/>
      <c r="AN958"/>
      <c r="AO958"/>
      <c r="AP958"/>
      <c r="AQ958"/>
      <c r="AR958"/>
      <c r="AS958"/>
      <c r="AT958"/>
      <c r="AU958"/>
      <c r="AV958"/>
      <c r="AW958"/>
      <c r="AX958"/>
      <c r="AY958"/>
      <c r="AZ958"/>
      <c r="BA958"/>
      <c r="BB958"/>
      <c r="BC958"/>
      <c r="BD958"/>
      <c r="BE958"/>
      <c r="BF958"/>
      <c r="BG958"/>
      <c r="BH958"/>
      <c r="BI958"/>
      <c r="BJ958"/>
      <c r="BK958"/>
      <c r="BL958"/>
      <c r="BM958"/>
      <c r="BN958"/>
      <c r="BO958"/>
      <c r="BP958"/>
      <c r="BQ958"/>
      <c r="BR958"/>
      <c r="BS958"/>
      <c r="BT958"/>
      <c r="BU958"/>
      <c r="BV958"/>
      <c r="BW958"/>
      <c r="BX958"/>
      <c r="BY958"/>
      <c r="BZ958"/>
    </row>
    <row r="959" spans="4:78" x14ac:dyDescent="0.25">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c r="AL959"/>
      <c r="AM959"/>
      <c r="AN959"/>
      <c r="AO959"/>
      <c r="AP959"/>
      <c r="AQ959"/>
      <c r="AR959"/>
      <c r="AS959"/>
      <c r="AT959"/>
      <c r="AU959"/>
      <c r="AV959"/>
      <c r="AW959"/>
      <c r="AX959"/>
      <c r="AY959"/>
      <c r="AZ959"/>
      <c r="BA959"/>
      <c r="BB959"/>
      <c r="BC959"/>
      <c r="BD959"/>
      <c r="BE959"/>
      <c r="BF959"/>
      <c r="BG959"/>
      <c r="BH959"/>
      <c r="BI959"/>
      <c r="BJ959"/>
      <c r="BK959"/>
      <c r="BL959"/>
      <c r="BM959"/>
      <c r="BN959"/>
      <c r="BO959"/>
      <c r="BP959"/>
      <c r="BQ959"/>
      <c r="BR959"/>
      <c r="BS959"/>
      <c r="BT959"/>
      <c r="BU959"/>
      <c r="BV959"/>
      <c r="BW959"/>
      <c r="BX959"/>
      <c r="BY959"/>
      <c r="BZ959"/>
    </row>
    <row r="960" spans="4:78" x14ac:dyDescent="0.25">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c r="AL960"/>
      <c r="AM960"/>
      <c r="AN960"/>
      <c r="AO960"/>
      <c r="AP960"/>
      <c r="AQ960"/>
      <c r="AR960"/>
      <c r="AS960"/>
      <c r="AT960"/>
      <c r="AU960"/>
      <c r="AV960"/>
      <c r="AW960"/>
      <c r="AX960"/>
      <c r="AY960"/>
      <c r="AZ960"/>
      <c r="BA960"/>
      <c r="BB960"/>
      <c r="BC960"/>
      <c r="BD960"/>
      <c r="BE960"/>
      <c r="BF960"/>
      <c r="BG960"/>
      <c r="BH960"/>
      <c r="BI960"/>
      <c r="BJ960"/>
      <c r="BK960"/>
      <c r="BL960"/>
      <c r="BM960"/>
      <c r="BN960"/>
      <c r="BO960"/>
      <c r="BP960"/>
      <c r="BQ960"/>
      <c r="BR960"/>
      <c r="BS960"/>
      <c r="BT960"/>
      <c r="BU960"/>
      <c r="BV960"/>
      <c r="BW960"/>
      <c r="BX960"/>
      <c r="BY960"/>
      <c r="BZ960"/>
    </row>
    <row r="961" spans="4:78" x14ac:dyDescent="0.25">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c r="AL961"/>
      <c r="AM961"/>
      <c r="AN961"/>
      <c r="AO961"/>
      <c r="AP961"/>
      <c r="AQ961"/>
      <c r="AR961"/>
      <c r="AS961"/>
      <c r="AT961"/>
      <c r="AU961"/>
      <c r="AV961"/>
      <c r="AW961"/>
      <c r="AX961"/>
      <c r="AY961"/>
      <c r="AZ961"/>
      <c r="BA961"/>
      <c r="BB961"/>
      <c r="BC961"/>
      <c r="BD961"/>
      <c r="BE961"/>
      <c r="BF961"/>
      <c r="BG961"/>
      <c r="BH961"/>
      <c r="BI961"/>
      <c r="BJ961"/>
      <c r="BK961"/>
      <c r="BL961"/>
      <c r="BM961"/>
      <c r="BN961"/>
      <c r="BO961"/>
      <c r="BP961"/>
      <c r="BQ961"/>
      <c r="BR961"/>
      <c r="BS961"/>
      <c r="BT961"/>
      <c r="BU961"/>
      <c r="BV961"/>
      <c r="BW961"/>
      <c r="BX961"/>
      <c r="BY961"/>
      <c r="BZ961"/>
    </row>
    <row r="962" spans="4:78" x14ac:dyDescent="0.25">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c r="AL962"/>
      <c r="AM962"/>
      <c r="AN962"/>
      <c r="AO962"/>
      <c r="AP962"/>
      <c r="AQ962"/>
      <c r="AR962"/>
      <c r="AS962"/>
      <c r="AT962"/>
      <c r="AU962"/>
      <c r="AV962"/>
      <c r="AW962"/>
      <c r="AX962"/>
      <c r="AY962"/>
      <c r="AZ962"/>
      <c r="BA962"/>
      <c r="BB962"/>
      <c r="BC962"/>
      <c r="BD962"/>
      <c r="BE962"/>
      <c r="BF962"/>
      <c r="BG962"/>
      <c r="BH962"/>
      <c r="BI962"/>
      <c r="BJ962"/>
      <c r="BK962"/>
      <c r="BL962"/>
      <c r="BM962"/>
      <c r="BN962"/>
      <c r="BO962"/>
      <c r="BP962"/>
      <c r="BQ962"/>
      <c r="BR962"/>
      <c r="BS962"/>
      <c r="BT962"/>
      <c r="BU962"/>
      <c r="BV962"/>
      <c r="BW962"/>
      <c r="BX962"/>
      <c r="BY962"/>
      <c r="BZ962"/>
    </row>
    <row r="963" spans="4:78" x14ac:dyDescent="0.25">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c r="AL963"/>
      <c r="AM963"/>
      <c r="AN963"/>
      <c r="AO963"/>
      <c r="AP963"/>
      <c r="AQ963"/>
      <c r="AR963"/>
      <c r="AS963"/>
      <c r="AT963"/>
      <c r="AU963"/>
      <c r="AV963"/>
      <c r="AW963"/>
      <c r="AX963"/>
      <c r="AY963"/>
      <c r="AZ963"/>
      <c r="BA963"/>
      <c r="BB963"/>
      <c r="BC963"/>
      <c r="BD963"/>
      <c r="BE963"/>
      <c r="BF963"/>
      <c r="BG963"/>
      <c r="BH963"/>
      <c r="BI963"/>
      <c r="BJ963"/>
      <c r="BK963"/>
      <c r="BL963"/>
      <c r="BM963"/>
      <c r="BN963"/>
      <c r="BO963"/>
      <c r="BP963"/>
      <c r="BQ963"/>
      <c r="BR963"/>
      <c r="BS963"/>
      <c r="BT963"/>
      <c r="BU963"/>
      <c r="BV963"/>
      <c r="BW963"/>
      <c r="BX963"/>
      <c r="BY963"/>
      <c r="BZ963"/>
    </row>
    <row r="964" spans="4:78" x14ac:dyDescent="0.25">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c r="AL964"/>
      <c r="AM964"/>
      <c r="AN964"/>
      <c r="AO964"/>
      <c r="AP964"/>
      <c r="AQ964"/>
      <c r="AR964"/>
      <c r="AS964"/>
      <c r="AT964"/>
      <c r="AU964"/>
      <c r="AV964"/>
      <c r="AW964"/>
      <c r="AX964"/>
      <c r="AY964"/>
      <c r="AZ964"/>
      <c r="BA964"/>
      <c r="BB964"/>
      <c r="BC964"/>
      <c r="BD964"/>
      <c r="BE964"/>
      <c r="BF964"/>
      <c r="BG964"/>
      <c r="BH964"/>
      <c r="BI964"/>
      <c r="BJ964"/>
      <c r="BK964"/>
      <c r="BL964"/>
      <c r="BM964"/>
      <c r="BN964"/>
      <c r="BO964"/>
      <c r="BP964"/>
      <c r="BQ964"/>
      <c r="BR964"/>
      <c r="BS964"/>
      <c r="BT964"/>
      <c r="BU964"/>
      <c r="BV964"/>
      <c r="BW964"/>
      <c r="BX964"/>
      <c r="BY964"/>
      <c r="BZ964"/>
    </row>
    <row r="965" spans="4:78" x14ac:dyDescent="0.2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c r="AL965"/>
      <c r="AM965"/>
      <c r="AN965"/>
      <c r="AO965"/>
      <c r="AP965"/>
      <c r="AQ965"/>
      <c r="AR965"/>
      <c r="AS965"/>
      <c r="AT965"/>
      <c r="AU965"/>
      <c r="AV965"/>
      <c r="AW965"/>
      <c r="AX965"/>
      <c r="AY965"/>
      <c r="AZ965"/>
      <c r="BA965"/>
      <c r="BB965"/>
      <c r="BC965"/>
      <c r="BD965"/>
      <c r="BE965"/>
      <c r="BF965"/>
      <c r="BG965"/>
      <c r="BH965"/>
      <c r="BI965"/>
      <c r="BJ965"/>
      <c r="BK965"/>
      <c r="BL965"/>
      <c r="BM965"/>
      <c r="BN965"/>
      <c r="BO965"/>
      <c r="BP965"/>
      <c r="BQ965"/>
      <c r="BR965"/>
      <c r="BS965"/>
      <c r="BT965"/>
      <c r="BU965"/>
      <c r="BV965"/>
      <c r="BW965"/>
      <c r="BX965"/>
      <c r="BY965"/>
      <c r="BZ965"/>
    </row>
    <row r="966" spans="4:78" x14ac:dyDescent="0.25">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c r="AL966"/>
      <c r="AM966"/>
      <c r="AN966"/>
      <c r="AO966"/>
      <c r="AP966"/>
      <c r="AQ966"/>
      <c r="AR966"/>
      <c r="AS966"/>
      <c r="AT966"/>
      <c r="AU966"/>
      <c r="AV966"/>
      <c r="AW966"/>
      <c r="AX966"/>
      <c r="AY966"/>
      <c r="AZ966"/>
      <c r="BA966"/>
      <c r="BB966"/>
      <c r="BC966"/>
      <c r="BD966"/>
      <c r="BE966"/>
      <c r="BF966"/>
      <c r="BG966"/>
      <c r="BH966"/>
      <c r="BI966"/>
      <c r="BJ966"/>
      <c r="BK966"/>
      <c r="BL966"/>
      <c r="BM966"/>
      <c r="BN966"/>
      <c r="BO966"/>
      <c r="BP966"/>
      <c r="BQ966"/>
      <c r="BR966"/>
      <c r="BS966"/>
      <c r="BT966"/>
      <c r="BU966"/>
      <c r="BV966"/>
      <c r="BW966"/>
      <c r="BX966"/>
      <c r="BY966"/>
      <c r="BZ966"/>
    </row>
    <row r="967" spans="4:78" x14ac:dyDescent="0.25">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c r="AL967"/>
      <c r="AM967"/>
      <c r="AN967"/>
      <c r="AO967"/>
      <c r="AP967"/>
      <c r="AQ967"/>
      <c r="AR967"/>
      <c r="AS967"/>
      <c r="AT967"/>
      <c r="AU967"/>
      <c r="AV967"/>
      <c r="AW967"/>
      <c r="AX967"/>
      <c r="AY967"/>
      <c r="AZ967"/>
      <c r="BA967"/>
      <c r="BB967"/>
      <c r="BC967"/>
      <c r="BD967"/>
      <c r="BE967"/>
      <c r="BF967"/>
      <c r="BG967"/>
      <c r="BH967"/>
      <c r="BI967"/>
      <c r="BJ967"/>
      <c r="BK967"/>
      <c r="BL967"/>
      <c r="BM967"/>
      <c r="BN967"/>
      <c r="BO967"/>
      <c r="BP967"/>
      <c r="BQ967"/>
      <c r="BR967"/>
      <c r="BS967"/>
      <c r="BT967"/>
      <c r="BU967"/>
      <c r="BV967"/>
      <c r="BW967"/>
      <c r="BX967"/>
      <c r="BY967"/>
      <c r="BZ967"/>
    </row>
    <row r="968" spans="4:78" x14ac:dyDescent="0.25">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c r="AL968"/>
      <c r="AM968"/>
      <c r="AN968"/>
      <c r="AO968"/>
      <c r="AP968"/>
      <c r="AQ968"/>
      <c r="AR968"/>
      <c r="AS968"/>
      <c r="AT968"/>
      <c r="AU968"/>
      <c r="AV968"/>
      <c r="AW968"/>
      <c r="AX968"/>
      <c r="AY968"/>
      <c r="AZ968"/>
      <c r="BA968"/>
      <c r="BB968"/>
      <c r="BC968"/>
      <c r="BD968"/>
      <c r="BE968"/>
      <c r="BF968"/>
      <c r="BG968"/>
      <c r="BH968"/>
      <c r="BI968"/>
      <c r="BJ968"/>
      <c r="BK968"/>
      <c r="BL968"/>
      <c r="BM968"/>
      <c r="BN968"/>
      <c r="BO968"/>
      <c r="BP968"/>
      <c r="BQ968"/>
      <c r="BR968"/>
      <c r="BS968"/>
      <c r="BT968"/>
      <c r="BU968"/>
      <c r="BV968"/>
      <c r="BW968"/>
      <c r="BX968"/>
      <c r="BY968"/>
      <c r="BZ968"/>
    </row>
    <row r="969" spans="4:78" x14ac:dyDescent="0.25">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c r="AL969"/>
      <c r="AM969"/>
      <c r="AN969"/>
      <c r="AO969"/>
      <c r="AP969"/>
      <c r="AQ969"/>
      <c r="AR969"/>
      <c r="AS969"/>
      <c r="AT969"/>
      <c r="AU969"/>
      <c r="AV969"/>
      <c r="AW969"/>
      <c r="AX969"/>
      <c r="AY969"/>
      <c r="AZ969"/>
      <c r="BA969"/>
      <c r="BB969"/>
      <c r="BC969"/>
      <c r="BD969"/>
      <c r="BE969"/>
      <c r="BF969"/>
      <c r="BG969"/>
      <c r="BH969"/>
      <c r="BI969"/>
      <c r="BJ969"/>
      <c r="BK969"/>
      <c r="BL969"/>
      <c r="BM969"/>
      <c r="BN969"/>
      <c r="BO969"/>
      <c r="BP969"/>
      <c r="BQ969"/>
      <c r="BR969"/>
      <c r="BS969"/>
      <c r="BT969"/>
      <c r="BU969"/>
      <c r="BV969"/>
      <c r="BW969"/>
      <c r="BX969"/>
      <c r="BY969"/>
      <c r="BZ969"/>
    </row>
    <row r="970" spans="4:78" x14ac:dyDescent="0.25">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c r="AL970"/>
      <c r="AM970"/>
      <c r="AN970"/>
      <c r="AO970"/>
      <c r="AP970"/>
      <c r="AQ970"/>
      <c r="AR970"/>
      <c r="AS970"/>
      <c r="AT970"/>
      <c r="AU970"/>
      <c r="AV970"/>
      <c r="AW970"/>
      <c r="AX970"/>
      <c r="AY970"/>
      <c r="AZ970"/>
      <c r="BA970"/>
      <c r="BB970"/>
      <c r="BC970"/>
      <c r="BD970"/>
      <c r="BE970"/>
      <c r="BF970"/>
      <c r="BG970"/>
      <c r="BH970"/>
      <c r="BI970"/>
      <c r="BJ970"/>
      <c r="BK970"/>
      <c r="BL970"/>
      <c r="BM970"/>
      <c r="BN970"/>
      <c r="BO970"/>
      <c r="BP970"/>
      <c r="BQ970"/>
      <c r="BR970"/>
      <c r="BS970"/>
      <c r="BT970"/>
      <c r="BU970"/>
      <c r="BV970"/>
      <c r="BW970"/>
      <c r="BX970"/>
      <c r="BY970"/>
      <c r="BZ970"/>
    </row>
    <row r="971" spans="4:78" x14ac:dyDescent="0.25">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c r="AL971"/>
      <c r="AM971"/>
      <c r="AN971"/>
      <c r="AO971"/>
      <c r="AP971"/>
      <c r="AQ971"/>
      <c r="AR971"/>
      <c r="AS971"/>
      <c r="AT971"/>
      <c r="AU971"/>
      <c r="AV971"/>
      <c r="AW971"/>
      <c r="AX971"/>
      <c r="AY971"/>
      <c r="AZ971"/>
      <c r="BA971"/>
      <c r="BB971"/>
      <c r="BC971"/>
      <c r="BD971"/>
      <c r="BE971"/>
      <c r="BF971"/>
      <c r="BG971"/>
      <c r="BH971"/>
      <c r="BI971"/>
      <c r="BJ971"/>
      <c r="BK971"/>
      <c r="BL971"/>
      <c r="BM971"/>
      <c r="BN971"/>
      <c r="BO971"/>
      <c r="BP971"/>
      <c r="BQ971"/>
      <c r="BR971"/>
      <c r="BS971"/>
      <c r="BT971"/>
      <c r="BU971"/>
      <c r="BV971"/>
      <c r="BW971"/>
      <c r="BX971"/>
      <c r="BY971"/>
      <c r="BZ971"/>
    </row>
    <row r="972" spans="4:78" x14ac:dyDescent="0.25">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c r="AL972"/>
      <c r="AM972"/>
      <c r="AN972"/>
      <c r="AO972"/>
      <c r="AP972"/>
      <c r="AQ972"/>
      <c r="AR972"/>
      <c r="AS972"/>
      <c r="AT972"/>
      <c r="AU972"/>
      <c r="AV972"/>
      <c r="AW972"/>
      <c r="AX972"/>
      <c r="AY972"/>
      <c r="AZ972"/>
      <c r="BA972"/>
      <c r="BB972"/>
      <c r="BC972"/>
      <c r="BD972"/>
      <c r="BE972"/>
      <c r="BF972"/>
      <c r="BG972"/>
      <c r="BH972"/>
      <c r="BI972"/>
      <c r="BJ972"/>
      <c r="BK972"/>
      <c r="BL972"/>
      <c r="BM972"/>
      <c r="BN972"/>
      <c r="BO972"/>
      <c r="BP972"/>
      <c r="BQ972"/>
      <c r="BR972"/>
      <c r="BS972"/>
      <c r="BT972"/>
      <c r="BU972"/>
      <c r="BV972"/>
      <c r="BW972"/>
      <c r="BX972"/>
      <c r="BY972"/>
      <c r="BZ972"/>
    </row>
    <row r="973" spans="4:78" x14ac:dyDescent="0.25">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c r="AL973"/>
      <c r="AM973"/>
      <c r="AN973"/>
      <c r="AO973"/>
      <c r="AP973"/>
      <c r="AQ973"/>
      <c r="AR973"/>
      <c r="AS973"/>
      <c r="AT973"/>
      <c r="AU973"/>
      <c r="AV973"/>
      <c r="AW973"/>
      <c r="AX973"/>
      <c r="AY973"/>
      <c r="AZ973"/>
      <c r="BA973"/>
      <c r="BB973"/>
      <c r="BC973"/>
      <c r="BD973"/>
      <c r="BE973"/>
      <c r="BF973"/>
      <c r="BG973"/>
      <c r="BH973"/>
      <c r="BI973"/>
      <c r="BJ973"/>
      <c r="BK973"/>
      <c r="BL973"/>
      <c r="BM973"/>
      <c r="BN973"/>
      <c r="BO973"/>
      <c r="BP973"/>
      <c r="BQ973"/>
      <c r="BR973"/>
      <c r="BS973"/>
      <c r="BT973"/>
      <c r="BU973"/>
      <c r="BV973"/>
      <c r="BW973"/>
      <c r="BX973"/>
      <c r="BY973"/>
      <c r="BZ973"/>
    </row>
    <row r="974" spans="4:78" x14ac:dyDescent="0.25">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row>
    <row r="975" spans="4:78" x14ac:dyDescent="0.2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c r="AL975"/>
      <c r="AM975"/>
      <c r="AN975"/>
      <c r="AO975"/>
      <c r="AP975"/>
      <c r="AQ975"/>
      <c r="AR975"/>
      <c r="AS975"/>
      <c r="AT975"/>
      <c r="AU975"/>
      <c r="AV975"/>
      <c r="AW975"/>
      <c r="AX975"/>
      <c r="AY975"/>
      <c r="AZ975"/>
      <c r="BA975"/>
      <c r="BB975"/>
      <c r="BC975"/>
      <c r="BD975"/>
      <c r="BE975"/>
      <c r="BF975"/>
      <c r="BG975"/>
      <c r="BH975"/>
      <c r="BI975"/>
      <c r="BJ975"/>
      <c r="BK975"/>
      <c r="BL975"/>
      <c r="BM975"/>
      <c r="BN975"/>
      <c r="BO975"/>
      <c r="BP975"/>
      <c r="BQ975"/>
      <c r="BR975"/>
      <c r="BS975"/>
      <c r="BT975"/>
      <c r="BU975"/>
      <c r="BV975"/>
      <c r="BW975"/>
      <c r="BX975"/>
      <c r="BY975"/>
      <c r="BZ975"/>
    </row>
    <row r="976" spans="4:78" x14ac:dyDescent="0.25">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c r="AL976"/>
      <c r="AM976"/>
      <c r="AN976"/>
      <c r="AO976"/>
      <c r="AP976"/>
      <c r="AQ976"/>
      <c r="AR976"/>
      <c r="AS976"/>
      <c r="AT976"/>
      <c r="AU976"/>
      <c r="AV976"/>
      <c r="AW976"/>
      <c r="AX976"/>
      <c r="AY976"/>
      <c r="AZ976"/>
      <c r="BA976"/>
      <c r="BB976"/>
      <c r="BC976"/>
      <c r="BD976"/>
      <c r="BE976"/>
      <c r="BF976"/>
      <c r="BG976"/>
      <c r="BH976"/>
      <c r="BI976"/>
      <c r="BJ976"/>
      <c r="BK976"/>
      <c r="BL976"/>
      <c r="BM976"/>
      <c r="BN976"/>
      <c r="BO976"/>
      <c r="BP976"/>
      <c r="BQ976"/>
      <c r="BR976"/>
      <c r="BS976"/>
      <c r="BT976"/>
      <c r="BU976"/>
      <c r="BV976"/>
      <c r="BW976"/>
      <c r="BX976"/>
      <c r="BY976"/>
      <c r="BZ976"/>
    </row>
    <row r="977" spans="4:78" x14ac:dyDescent="0.25">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c r="AL977"/>
      <c r="AM977"/>
      <c r="AN977"/>
      <c r="AO977"/>
      <c r="AP977"/>
      <c r="AQ977"/>
      <c r="AR977"/>
      <c r="AS977"/>
      <c r="AT977"/>
      <c r="AU977"/>
      <c r="AV977"/>
      <c r="AW977"/>
      <c r="AX977"/>
      <c r="AY977"/>
      <c r="AZ977"/>
      <c r="BA977"/>
      <c r="BB977"/>
      <c r="BC977"/>
      <c r="BD977"/>
      <c r="BE977"/>
      <c r="BF977"/>
      <c r="BG977"/>
      <c r="BH977"/>
      <c r="BI977"/>
      <c r="BJ977"/>
      <c r="BK977"/>
      <c r="BL977"/>
      <c r="BM977"/>
      <c r="BN977"/>
      <c r="BO977"/>
      <c r="BP977"/>
      <c r="BQ977"/>
      <c r="BR977"/>
      <c r="BS977"/>
      <c r="BT977"/>
      <c r="BU977"/>
      <c r="BV977"/>
      <c r="BW977"/>
      <c r="BX977"/>
      <c r="BY977"/>
      <c r="BZ977"/>
    </row>
    <row r="978" spans="4:78" x14ac:dyDescent="0.25">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c r="AL978"/>
      <c r="AM978"/>
      <c r="AN978"/>
      <c r="AO978"/>
      <c r="AP978"/>
      <c r="AQ978"/>
      <c r="AR978"/>
      <c r="AS978"/>
      <c r="AT978"/>
      <c r="AU978"/>
      <c r="AV978"/>
      <c r="AW978"/>
      <c r="AX978"/>
      <c r="AY978"/>
      <c r="AZ978"/>
      <c r="BA978"/>
      <c r="BB978"/>
      <c r="BC978"/>
      <c r="BD978"/>
      <c r="BE978"/>
      <c r="BF978"/>
      <c r="BG978"/>
      <c r="BH978"/>
      <c r="BI978"/>
      <c r="BJ978"/>
      <c r="BK978"/>
      <c r="BL978"/>
      <c r="BM978"/>
      <c r="BN978"/>
      <c r="BO978"/>
      <c r="BP978"/>
      <c r="BQ978"/>
      <c r="BR978"/>
      <c r="BS978"/>
      <c r="BT978"/>
      <c r="BU978"/>
      <c r="BV978"/>
      <c r="BW978"/>
      <c r="BX978"/>
      <c r="BY978"/>
      <c r="BZ978"/>
    </row>
    <row r="979" spans="4:78" x14ac:dyDescent="0.25">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c r="AL979"/>
      <c r="AM979"/>
      <c r="AN979"/>
      <c r="AO979"/>
      <c r="AP979"/>
      <c r="AQ979"/>
      <c r="AR979"/>
      <c r="AS979"/>
      <c r="AT979"/>
      <c r="AU979"/>
      <c r="AV979"/>
      <c r="AW979"/>
      <c r="AX979"/>
      <c r="AY979"/>
      <c r="AZ979"/>
      <c r="BA979"/>
      <c r="BB979"/>
      <c r="BC979"/>
      <c r="BD979"/>
      <c r="BE979"/>
      <c r="BF979"/>
      <c r="BG979"/>
      <c r="BH979"/>
      <c r="BI979"/>
      <c r="BJ979"/>
      <c r="BK979"/>
      <c r="BL979"/>
      <c r="BM979"/>
      <c r="BN979"/>
      <c r="BO979"/>
      <c r="BP979"/>
      <c r="BQ979"/>
      <c r="BR979"/>
      <c r="BS979"/>
      <c r="BT979"/>
      <c r="BU979"/>
      <c r="BV979"/>
      <c r="BW979"/>
      <c r="BX979"/>
      <c r="BY979"/>
      <c r="BZ979"/>
    </row>
    <row r="980" spans="4:78" x14ac:dyDescent="0.25">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c r="AL980"/>
      <c r="AM980"/>
      <c r="AN980"/>
      <c r="AO980"/>
      <c r="AP980"/>
      <c r="AQ980"/>
      <c r="AR980"/>
      <c r="AS980"/>
      <c r="AT980"/>
      <c r="AU980"/>
      <c r="AV980"/>
      <c r="AW980"/>
      <c r="AX980"/>
      <c r="AY980"/>
      <c r="AZ980"/>
      <c r="BA980"/>
      <c r="BB980"/>
      <c r="BC980"/>
      <c r="BD980"/>
      <c r="BE980"/>
      <c r="BF980"/>
      <c r="BG980"/>
      <c r="BH980"/>
      <c r="BI980"/>
      <c r="BJ980"/>
      <c r="BK980"/>
      <c r="BL980"/>
      <c r="BM980"/>
      <c r="BN980"/>
      <c r="BO980"/>
      <c r="BP980"/>
      <c r="BQ980"/>
      <c r="BR980"/>
      <c r="BS980"/>
      <c r="BT980"/>
      <c r="BU980"/>
      <c r="BV980"/>
      <c r="BW980"/>
      <c r="BX980"/>
      <c r="BY980"/>
      <c r="BZ980"/>
    </row>
    <row r="981" spans="4:78" x14ac:dyDescent="0.25">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c r="AL981"/>
      <c r="AM981"/>
      <c r="AN981"/>
      <c r="AO981"/>
      <c r="AP981"/>
      <c r="AQ981"/>
      <c r="AR981"/>
      <c r="AS981"/>
      <c r="AT981"/>
      <c r="AU981"/>
      <c r="AV981"/>
      <c r="AW981"/>
      <c r="AX981"/>
      <c r="AY981"/>
      <c r="AZ981"/>
      <c r="BA981"/>
      <c r="BB981"/>
      <c r="BC981"/>
      <c r="BD981"/>
      <c r="BE981"/>
      <c r="BF981"/>
      <c r="BG981"/>
      <c r="BH981"/>
      <c r="BI981"/>
      <c r="BJ981"/>
      <c r="BK981"/>
      <c r="BL981"/>
      <c r="BM981"/>
      <c r="BN981"/>
      <c r="BO981"/>
      <c r="BP981"/>
      <c r="BQ981"/>
      <c r="BR981"/>
      <c r="BS981"/>
      <c r="BT981"/>
      <c r="BU981"/>
      <c r="BV981"/>
      <c r="BW981"/>
      <c r="BX981"/>
      <c r="BY981"/>
      <c r="BZ981"/>
    </row>
    <row r="982" spans="4:78" x14ac:dyDescent="0.25">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c r="AL982"/>
      <c r="AM982"/>
      <c r="AN982"/>
      <c r="AO982"/>
      <c r="AP982"/>
      <c r="AQ982"/>
      <c r="AR982"/>
      <c r="AS982"/>
      <c r="AT982"/>
      <c r="AU982"/>
      <c r="AV982"/>
      <c r="AW982"/>
      <c r="AX982"/>
      <c r="AY982"/>
      <c r="AZ982"/>
      <c r="BA982"/>
      <c r="BB982"/>
      <c r="BC982"/>
      <c r="BD982"/>
      <c r="BE982"/>
      <c r="BF982"/>
      <c r="BG982"/>
      <c r="BH982"/>
      <c r="BI982"/>
      <c r="BJ982"/>
      <c r="BK982"/>
      <c r="BL982"/>
      <c r="BM982"/>
      <c r="BN982"/>
      <c r="BO982"/>
      <c r="BP982"/>
      <c r="BQ982"/>
      <c r="BR982"/>
      <c r="BS982"/>
      <c r="BT982"/>
      <c r="BU982"/>
      <c r="BV982"/>
      <c r="BW982"/>
      <c r="BX982"/>
      <c r="BY982"/>
      <c r="BZ982"/>
    </row>
    <row r="983" spans="4:78" x14ac:dyDescent="0.25">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c r="AL983"/>
      <c r="AM983"/>
      <c r="AN983"/>
      <c r="AO983"/>
      <c r="AP983"/>
      <c r="AQ983"/>
      <c r="AR983"/>
      <c r="AS983"/>
      <c r="AT983"/>
      <c r="AU983"/>
      <c r="AV983"/>
      <c r="AW983"/>
      <c r="AX983"/>
      <c r="AY983"/>
      <c r="AZ983"/>
      <c r="BA983"/>
      <c r="BB983"/>
      <c r="BC983"/>
      <c r="BD983"/>
      <c r="BE983"/>
      <c r="BF983"/>
      <c r="BG983"/>
      <c r="BH983"/>
      <c r="BI983"/>
      <c r="BJ983"/>
      <c r="BK983"/>
      <c r="BL983"/>
      <c r="BM983"/>
      <c r="BN983"/>
      <c r="BO983"/>
      <c r="BP983"/>
      <c r="BQ983"/>
      <c r="BR983"/>
      <c r="BS983"/>
      <c r="BT983"/>
      <c r="BU983"/>
      <c r="BV983"/>
      <c r="BW983"/>
      <c r="BX983"/>
      <c r="BY983"/>
      <c r="BZ983"/>
    </row>
    <row r="984" spans="4:78" x14ac:dyDescent="0.25">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c r="AL984"/>
      <c r="AM984"/>
      <c r="AN984"/>
      <c r="AO984"/>
      <c r="AP984"/>
      <c r="AQ984"/>
      <c r="AR984"/>
      <c r="AS984"/>
      <c r="AT984"/>
      <c r="AU984"/>
      <c r="AV984"/>
      <c r="AW984"/>
      <c r="AX984"/>
      <c r="AY984"/>
      <c r="AZ984"/>
      <c r="BA984"/>
      <c r="BB984"/>
      <c r="BC984"/>
      <c r="BD984"/>
      <c r="BE984"/>
      <c r="BF984"/>
      <c r="BG984"/>
      <c r="BH984"/>
      <c r="BI984"/>
      <c r="BJ984"/>
      <c r="BK984"/>
      <c r="BL984"/>
      <c r="BM984"/>
      <c r="BN984"/>
      <c r="BO984"/>
      <c r="BP984"/>
      <c r="BQ984"/>
      <c r="BR984"/>
      <c r="BS984"/>
      <c r="BT984"/>
      <c r="BU984"/>
      <c r="BV984"/>
      <c r="BW984"/>
      <c r="BX984"/>
      <c r="BY984"/>
      <c r="BZ984"/>
    </row>
    <row r="985" spans="4:78" x14ac:dyDescent="0.2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c r="AL985"/>
      <c r="AM985"/>
      <c r="AN985"/>
      <c r="AO985"/>
      <c r="AP985"/>
      <c r="AQ985"/>
      <c r="AR985"/>
      <c r="AS985"/>
      <c r="AT985"/>
      <c r="AU985"/>
      <c r="AV985"/>
      <c r="AW985"/>
      <c r="AX985"/>
      <c r="AY985"/>
      <c r="AZ985"/>
      <c r="BA985"/>
      <c r="BB985"/>
      <c r="BC985"/>
      <c r="BD985"/>
      <c r="BE985"/>
      <c r="BF985"/>
      <c r="BG985"/>
      <c r="BH985"/>
      <c r="BI985"/>
      <c r="BJ985"/>
      <c r="BK985"/>
      <c r="BL985"/>
      <c r="BM985"/>
      <c r="BN985"/>
      <c r="BO985"/>
      <c r="BP985"/>
      <c r="BQ985"/>
      <c r="BR985"/>
      <c r="BS985"/>
      <c r="BT985"/>
      <c r="BU985"/>
      <c r="BV985"/>
      <c r="BW985"/>
      <c r="BX985"/>
      <c r="BY985"/>
      <c r="BZ985"/>
    </row>
    <row r="986" spans="4:78" x14ac:dyDescent="0.25">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c r="AL986"/>
      <c r="AM986"/>
      <c r="AN986"/>
      <c r="AO986"/>
      <c r="AP986"/>
      <c r="AQ986"/>
      <c r="AR986"/>
      <c r="AS986"/>
      <c r="AT986"/>
      <c r="AU986"/>
      <c r="AV986"/>
      <c r="AW986"/>
      <c r="AX986"/>
      <c r="AY986"/>
      <c r="AZ986"/>
      <c r="BA986"/>
      <c r="BB986"/>
      <c r="BC986"/>
      <c r="BD986"/>
      <c r="BE986"/>
      <c r="BF986"/>
      <c r="BG986"/>
      <c r="BH986"/>
      <c r="BI986"/>
      <c r="BJ986"/>
      <c r="BK986"/>
      <c r="BL986"/>
      <c r="BM986"/>
      <c r="BN986"/>
      <c r="BO986"/>
      <c r="BP986"/>
      <c r="BQ986"/>
      <c r="BR986"/>
      <c r="BS986"/>
      <c r="BT986"/>
      <c r="BU986"/>
      <c r="BV986"/>
      <c r="BW986"/>
      <c r="BX986"/>
      <c r="BY986"/>
      <c r="BZ986"/>
    </row>
    <row r="987" spans="4:78" x14ac:dyDescent="0.25">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c r="AL987"/>
      <c r="AM987"/>
      <c r="AN987"/>
      <c r="AO987"/>
      <c r="AP987"/>
      <c r="AQ987"/>
      <c r="AR987"/>
      <c r="AS987"/>
      <c r="AT987"/>
      <c r="AU987"/>
      <c r="AV987"/>
      <c r="AW987"/>
      <c r="AX987"/>
      <c r="AY987"/>
      <c r="AZ987"/>
      <c r="BA987"/>
      <c r="BB987"/>
      <c r="BC987"/>
      <c r="BD987"/>
      <c r="BE987"/>
      <c r="BF987"/>
      <c r="BG987"/>
      <c r="BH987"/>
      <c r="BI987"/>
      <c r="BJ987"/>
      <c r="BK987"/>
      <c r="BL987"/>
      <c r="BM987"/>
      <c r="BN987"/>
      <c r="BO987"/>
      <c r="BP987"/>
      <c r="BQ987"/>
      <c r="BR987"/>
      <c r="BS987"/>
      <c r="BT987"/>
      <c r="BU987"/>
      <c r="BV987"/>
      <c r="BW987"/>
      <c r="BX987"/>
      <c r="BY987"/>
      <c r="BZ987"/>
    </row>
    <row r="988" spans="4:78" x14ac:dyDescent="0.25">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c r="AL988"/>
      <c r="AM988"/>
      <c r="AN988"/>
      <c r="AO988"/>
      <c r="AP988"/>
      <c r="AQ988"/>
      <c r="AR988"/>
      <c r="AS988"/>
      <c r="AT988"/>
      <c r="AU988"/>
      <c r="AV988"/>
      <c r="AW988"/>
      <c r="AX988"/>
      <c r="AY988"/>
      <c r="AZ988"/>
      <c r="BA988"/>
      <c r="BB988"/>
      <c r="BC988"/>
      <c r="BD988"/>
      <c r="BE988"/>
      <c r="BF988"/>
      <c r="BG988"/>
      <c r="BH988"/>
      <c r="BI988"/>
      <c r="BJ988"/>
      <c r="BK988"/>
      <c r="BL988"/>
      <c r="BM988"/>
      <c r="BN988"/>
      <c r="BO988"/>
      <c r="BP988"/>
      <c r="BQ988"/>
      <c r="BR988"/>
      <c r="BS988"/>
      <c r="BT988"/>
      <c r="BU988"/>
      <c r="BV988"/>
      <c r="BW988"/>
      <c r="BX988"/>
      <c r="BY988"/>
      <c r="BZ988"/>
    </row>
    <row r="989" spans="4:78" x14ac:dyDescent="0.25">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c r="AL989"/>
      <c r="AM989"/>
      <c r="AN989"/>
      <c r="AO989"/>
      <c r="AP989"/>
      <c r="AQ989"/>
      <c r="AR989"/>
      <c r="AS989"/>
      <c r="AT989"/>
      <c r="AU989"/>
      <c r="AV989"/>
      <c r="AW989"/>
      <c r="AX989"/>
      <c r="AY989"/>
      <c r="AZ989"/>
      <c r="BA989"/>
      <c r="BB989"/>
      <c r="BC989"/>
      <c r="BD989"/>
      <c r="BE989"/>
      <c r="BF989"/>
      <c r="BG989"/>
      <c r="BH989"/>
      <c r="BI989"/>
      <c r="BJ989"/>
      <c r="BK989"/>
      <c r="BL989"/>
      <c r="BM989"/>
      <c r="BN989"/>
      <c r="BO989"/>
      <c r="BP989"/>
      <c r="BQ989"/>
      <c r="BR989"/>
      <c r="BS989"/>
      <c r="BT989"/>
      <c r="BU989"/>
      <c r="BV989"/>
      <c r="BW989"/>
      <c r="BX989"/>
      <c r="BY989"/>
      <c r="BZ989"/>
    </row>
    <row r="990" spans="4:78" x14ac:dyDescent="0.25">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c r="AL990"/>
      <c r="AM990"/>
      <c r="AN990"/>
      <c r="AO990"/>
      <c r="AP990"/>
      <c r="AQ990"/>
      <c r="AR990"/>
      <c r="AS990"/>
      <c r="AT990"/>
      <c r="AU990"/>
      <c r="AV990"/>
      <c r="AW990"/>
      <c r="AX990"/>
      <c r="AY990"/>
      <c r="AZ990"/>
      <c r="BA990"/>
      <c r="BB990"/>
      <c r="BC990"/>
      <c r="BD990"/>
      <c r="BE990"/>
      <c r="BF990"/>
      <c r="BG990"/>
      <c r="BH990"/>
      <c r="BI990"/>
      <c r="BJ990"/>
      <c r="BK990"/>
      <c r="BL990"/>
      <c r="BM990"/>
      <c r="BN990"/>
      <c r="BO990"/>
      <c r="BP990"/>
      <c r="BQ990"/>
      <c r="BR990"/>
      <c r="BS990"/>
      <c r="BT990"/>
      <c r="BU990"/>
      <c r="BV990"/>
      <c r="BW990"/>
      <c r="BX990"/>
      <c r="BY990"/>
      <c r="BZ990"/>
    </row>
    <row r="991" spans="4:78" x14ac:dyDescent="0.25">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c r="AL991"/>
      <c r="AM991"/>
      <c r="AN991"/>
      <c r="AO991"/>
      <c r="AP991"/>
      <c r="AQ991"/>
      <c r="AR991"/>
      <c r="AS991"/>
      <c r="AT991"/>
      <c r="AU991"/>
      <c r="AV991"/>
      <c r="AW991"/>
      <c r="AX991"/>
      <c r="AY991"/>
      <c r="AZ991"/>
      <c r="BA991"/>
      <c r="BB991"/>
      <c r="BC991"/>
      <c r="BD991"/>
      <c r="BE991"/>
      <c r="BF991"/>
      <c r="BG991"/>
      <c r="BH991"/>
      <c r="BI991"/>
      <c r="BJ991"/>
      <c r="BK991"/>
      <c r="BL991"/>
      <c r="BM991"/>
      <c r="BN991"/>
      <c r="BO991"/>
      <c r="BP991"/>
      <c r="BQ991"/>
      <c r="BR991"/>
      <c r="BS991"/>
      <c r="BT991"/>
      <c r="BU991"/>
      <c r="BV991"/>
      <c r="BW991"/>
      <c r="BX991"/>
      <c r="BY991"/>
      <c r="BZ991"/>
    </row>
    <row r="992" spans="4:78" x14ac:dyDescent="0.25">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c r="AL992"/>
      <c r="AM992"/>
      <c r="AN992"/>
      <c r="AO992"/>
      <c r="AP992"/>
      <c r="AQ992"/>
      <c r="AR992"/>
      <c r="AS992"/>
      <c r="AT992"/>
      <c r="AU992"/>
      <c r="AV992"/>
      <c r="AW992"/>
      <c r="AX992"/>
      <c r="AY992"/>
      <c r="AZ992"/>
      <c r="BA992"/>
      <c r="BB992"/>
      <c r="BC992"/>
      <c r="BD992"/>
      <c r="BE992"/>
      <c r="BF992"/>
      <c r="BG992"/>
      <c r="BH992"/>
      <c r="BI992"/>
      <c r="BJ992"/>
      <c r="BK992"/>
      <c r="BL992"/>
      <c r="BM992"/>
      <c r="BN992"/>
      <c r="BO992"/>
      <c r="BP992"/>
      <c r="BQ992"/>
      <c r="BR992"/>
      <c r="BS992"/>
      <c r="BT992"/>
      <c r="BU992"/>
      <c r="BV992"/>
      <c r="BW992"/>
      <c r="BX992"/>
      <c r="BY992"/>
      <c r="BZ992"/>
    </row>
    <row r="993" spans="4:78" x14ac:dyDescent="0.25">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c r="AL993"/>
      <c r="AM993"/>
      <c r="AN993"/>
      <c r="AO993"/>
      <c r="AP993"/>
      <c r="AQ993"/>
      <c r="AR993"/>
      <c r="AS993"/>
      <c r="AT993"/>
      <c r="AU993"/>
      <c r="AV993"/>
      <c r="AW993"/>
      <c r="AX993"/>
      <c r="AY993"/>
      <c r="AZ993"/>
      <c r="BA993"/>
      <c r="BB993"/>
      <c r="BC993"/>
      <c r="BD993"/>
      <c r="BE993"/>
      <c r="BF993"/>
      <c r="BG993"/>
      <c r="BH993"/>
      <c r="BI993"/>
      <c r="BJ993"/>
      <c r="BK993"/>
      <c r="BL993"/>
      <c r="BM993"/>
      <c r="BN993"/>
      <c r="BO993"/>
      <c r="BP993"/>
      <c r="BQ993"/>
      <c r="BR993"/>
      <c r="BS993"/>
      <c r="BT993"/>
      <c r="BU993"/>
      <c r="BV993"/>
      <c r="BW993"/>
      <c r="BX993"/>
      <c r="BY993"/>
      <c r="BZ993"/>
    </row>
    <row r="994" spans="4:78" x14ac:dyDescent="0.25">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c r="AL994"/>
      <c r="AM994"/>
      <c r="AN994"/>
      <c r="AO994"/>
      <c r="AP994"/>
      <c r="AQ994"/>
      <c r="AR994"/>
      <c r="AS994"/>
      <c r="AT994"/>
      <c r="AU994"/>
      <c r="AV994"/>
      <c r="AW994"/>
      <c r="AX994"/>
      <c r="AY994"/>
      <c r="AZ994"/>
      <c r="BA994"/>
      <c r="BB994"/>
      <c r="BC994"/>
      <c r="BD994"/>
      <c r="BE994"/>
      <c r="BF994"/>
      <c r="BG994"/>
      <c r="BH994"/>
      <c r="BI994"/>
      <c r="BJ994"/>
      <c r="BK994"/>
      <c r="BL994"/>
      <c r="BM994"/>
      <c r="BN994"/>
      <c r="BO994"/>
      <c r="BP994"/>
      <c r="BQ994"/>
      <c r="BR994"/>
      <c r="BS994"/>
      <c r="BT994"/>
      <c r="BU994"/>
      <c r="BV994"/>
      <c r="BW994"/>
      <c r="BX994"/>
      <c r="BY994"/>
      <c r="BZ994"/>
    </row>
    <row r="995" spans="4:78" x14ac:dyDescent="0.2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c r="AL995"/>
      <c r="AM995"/>
      <c r="AN995"/>
      <c r="AO995"/>
      <c r="AP995"/>
      <c r="AQ995"/>
      <c r="AR995"/>
      <c r="AS995"/>
      <c r="AT995"/>
      <c r="AU995"/>
      <c r="AV995"/>
      <c r="AW995"/>
      <c r="AX995"/>
      <c r="AY995"/>
      <c r="AZ995"/>
      <c r="BA995"/>
      <c r="BB995"/>
      <c r="BC995"/>
      <c r="BD995"/>
      <c r="BE995"/>
      <c r="BF995"/>
      <c r="BG995"/>
      <c r="BH995"/>
      <c r="BI995"/>
      <c r="BJ995"/>
      <c r="BK995"/>
      <c r="BL995"/>
      <c r="BM995"/>
      <c r="BN995"/>
      <c r="BO995"/>
      <c r="BP995"/>
      <c r="BQ995"/>
      <c r="BR995"/>
      <c r="BS995"/>
      <c r="BT995"/>
      <c r="BU995"/>
      <c r="BV995"/>
      <c r="BW995"/>
      <c r="BX995"/>
      <c r="BY995"/>
      <c r="BZ995"/>
    </row>
    <row r="996" spans="4:78" x14ac:dyDescent="0.25">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c r="AL996"/>
      <c r="AM996"/>
      <c r="AN996"/>
      <c r="AO996"/>
      <c r="AP996"/>
      <c r="AQ996"/>
      <c r="AR996"/>
      <c r="AS996"/>
      <c r="AT996"/>
      <c r="AU996"/>
      <c r="AV996"/>
      <c r="AW996"/>
      <c r="AX996"/>
      <c r="AY996"/>
      <c r="AZ996"/>
      <c r="BA996"/>
      <c r="BB996"/>
      <c r="BC996"/>
      <c r="BD996"/>
      <c r="BE996"/>
      <c r="BF996"/>
      <c r="BG996"/>
      <c r="BH996"/>
      <c r="BI996"/>
      <c r="BJ996"/>
      <c r="BK996"/>
      <c r="BL996"/>
      <c r="BM996"/>
      <c r="BN996"/>
      <c r="BO996"/>
      <c r="BP996"/>
      <c r="BQ996"/>
      <c r="BR996"/>
      <c r="BS996"/>
      <c r="BT996"/>
      <c r="BU996"/>
      <c r="BV996"/>
      <c r="BW996"/>
      <c r="BX996"/>
      <c r="BY996"/>
      <c r="BZ996"/>
    </row>
    <row r="997" spans="4:78" x14ac:dyDescent="0.25">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c r="AL997"/>
      <c r="AM997"/>
      <c r="AN997"/>
      <c r="AO997"/>
      <c r="AP997"/>
      <c r="AQ997"/>
      <c r="AR997"/>
      <c r="AS997"/>
      <c r="AT997"/>
      <c r="AU997"/>
      <c r="AV997"/>
      <c r="AW997"/>
      <c r="AX997"/>
      <c r="AY997"/>
      <c r="AZ997"/>
      <c r="BA997"/>
      <c r="BB997"/>
      <c r="BC997"/>
      <c r="BD997"/>
      <c r="BE997"/>
      <c r="BF997"/>
      <c r="BG997"/>
      <c r="BH997"/>
      <c r="BI997"/>
      <c r="BJ997"/>
      <c r="BK997"/>
      <c r="BL997"/>
      <c r="BM997"/>
      <c r="BN997"/>
      <c r="BO997"/>
      <c r="BP997"/>
      <c r="BQ997"/>
      <c r="BR997"/>
      <c r="BS997"/>
      <c r="BT997"/>
      <c r="BU997"/>
      <c r="BV997"/>
      <c r="BW997"/>
      <c r="BX997"/>
      <c r="BY997"/>
      <c r="BZ997"/>
    </row>
    <row r="998" spans="4:78" x14ac:dyDescent="0.25">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c r="AL998"/>
      <c r="AM998"/>
      <c r="AN998"/>
      <c r="AO998"/>
      <c r="AP998"/>
      <c r="AQ998"/>
      <c r="AR998"/>
      <c r="AS998"/>
      <c r="AT998"/>
      <c r="AU998"/>
      <c r="AV998"/>
      <c r="AW998"/>
      <c r="AX998"/>
      <c r="AY998"/>
      <c r="AZ998"/>
      <c r="BA998"/>
      <c r="BB998"/>
      <c r="BC998"/>
      <c r="BD998"/>
      <c r="BE998"/>
      <c r="BF998"/>
      <c r="BG998"/>
      <c r="BH998"/>
      <c r="BI998"/>
      <c r="BJ998"/>
      <c r="BK998"/>
      <c r="BL998"/>
      <c r="BM998"/>
      <c r="BN998"/>
      <c r="BO998"/>
      <c r="BP998"/>
      <c r="BQ998"/>
      <c r="BR998"/>
      <c r="BS998"/>
      <c r="BT998"/>
      <c r="BU998"/>
      <c r="BV998"/>
      <c r="BW998"/>
      <c r="BX998"/>
      <c r="BY998"/>
      <c r="BZ998"/>
    </row>
    <row r="999" spans="4:78" x14ac:dyDescent="0.25">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row>
    <row r="1000" spans="4:78" x14ac:dyDescent="0.25">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row>
  </sheetData>
  <mergeCells count="2">
    <mergeCell ref="E3:I3"/>
    <mergeCell ref="N3:Q3"/>
  </mergeCells>
  <conditionalFormatting sqref="H1001:I1048576">
    <cfRule type="colorScale" priority="2">
      <colorScale>
        <cfvo type="num" val="-2"/>
        <cfvo type="num" val="0"/>
        <cfvo type="num" val="2"/>
        <color rgb="FFF8696B"/>
        <color rgb="FFFCFCFF"/>
        <color rgb="FF63BE7B"/>
      </colorScale>
    </cfRule>
  </conditionalFormatting>
  <dataValidations count="3">
    <dataValidation type="list" allowBlank="1" showInputMessage="1" showErrorMessage="1" sqref="E3:I4" xr:uid="{00000000-0002-0000-0200-000000000000}">
      <formula1>Stakeholders</formula1>
    </dataValidation>
    <dataValidation type="list" allowBlank="1" showInputMessage="1" showErrorMessage="1" sqref="N3:Q4" xr:uid="{00000000-0002-0000-0200-000001000000}">
      <formula1>Dimensions</formula1>
    </dataValidation>
    <dataValidation type="list" allowBlank="1" showInputMessage="1" showErrorMessage="1" sqref="C7:C292" xr:uid="{00000000-0002-0000-0200-000002000000}">
      <formula1>Scenarios</formula1>
    </dataValidation>
  </dataValidations>
  <pageMargins left="0.7" right="0.7" top="0.78740157499999996" bottom="0.78740157499999996"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391" r:id="rId4" name="Button 151">
              <controlPr defaultSize="0" print="0" autoFill="0" autoPict="0" macro="[0]!New_Requirement_Click">
                <anchor moveWithCells="1" sizeWithCells="1">
                  <from>
                    <xdr:col>1</xdr:col>
                    <xdr:colOff>114300</xdr:colOff>
                    <xdr:row>1</xdr:row>
                    <xdr:rowOff>104775</xdr:rowOff>
                  </from>
                  <to>
                    <xdr:col>1</xdr:col>
                    <xdr:colOff>1352550</xdr:colOff>
                    <xdr:row>3</xdr:row>
                    <xdr:rowOff>47625</xdr:rowOff>
                  </to>
                </anchor>
              </controlPr>
            </control>
          </mc:Choice>
        </mc:AlternateContent>
        <mc:AlternateContent xmlns:mc="http://schemas.openxmlformats.org/markup-compatibility/2006">
          <mc:Choice Requires="x14">
            <control shapeId="10437" r:id="rId5" name="Button 197">
              <controlPr defaultSize="0" print="0" autoFill="0" autoPict="0" macro="[0]!Delete_Last_Requirement_Click">
                <anchor moveWithCells="1" sizeWithCells="1">
                  <from>
                    <xdr:col>1</xdr:col>
                    <xdr:colOff>1533525</xdr:colOff>
                    <xdr:row>1</xdr:row>
                    <xdr:rowOff>114300</xdr:rowOff>
                  </from>
                  <to>
                    <xdr:col>1</xdr:col>
                    <xdr:colOff>3295650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7"/>
  <dimension ref="A1:H338"/>
  <sheetViews>
    <sheetView tabSelected="1" workbookViewId="0">
      <pane ySplit="1" topLeftCell="A8" activePane="bottomLeft" state="frozen"/>
      <selection pane="bottomLeft" activeCell="H20" sqref="H20"/>
    </sheetView>
  </sheetViews>
  <sheetFormatPr baseColWidth="10" defaultColWidth="11.5703125" defaultRowHeight="15" x14ac:dyDescent="0.25"/>
  <cols>
    <col min="1" max="1" width="8.42578125" style="1" customWidth="1"/>
    <col min="2" max="2" width="12.42578125" style="1" customWidth="1"/>
    <col min="3" max="3" width="9.140625" style="1" customWidth="1"/>
    <col min="4" max="4" width="18.7109375" style="1" customWidth="1"/>
    <col min="5" max="5" width="20.7109375" style="1" customWidth="1"/>
    <col min="6" max="6" width="14.42578125" style="1" customWidth="1"/>
    <col min="7" max="7" width="20.140625" style="1" customWidth="1"/>
    <col min="8" max="8" width="75.140625" style="1" customWidth="1"/>
    <col min="9" max="16384" width="11.5703125" style="1"/>
  </cols>
  <sheetData>
    <row r="1" spans="1:8" ht="30" x14ac:dyDescent="0.25">
      <c r="A1" s="56" t="s">
        <v>30</v>
      </c>
      <c r="B1" s="56" t="s">
        <v>116</v>
      </c>
      <c r="C1" s="56" t="s">
        <v>15</v>
      </c>
      <c r="D1" s="56" t="s">
        <v>208</v>
      </c>
      <c r="E1" s="56" t="s">
        <v>222</v>
      </c>
      <c r="F1" s="56" t="s">
        <v>235</v>
      </c>
      <c r="G1" s="56" t="s">
        <v>238</v>
      </c>
      <c r="H1" s="56" t="s">
        <v>237</v>
      </c>
    </row>
    <row r="2" spans="1:8" ht="45" x14ac:dyDescent="0.25">
      <c r="A2" s="1" t="str">
        <f>IF(ISBLANK(B2),"","E"&amp;TEXT(ROW()-1,"000"))</f>
        <v>E001</v>
      </c>
      <c r="B2" s="1" t="s">
        <v>224</v>
      </c>
      <c r="C2" s="1" t="str">
        <f t="shared" ref="C2:C65" si="0">IF(LEN(IFERROR(VLOOKUP(B2,Reqs_and_Explanation,3,FALSE),""))&lt;3,"",IFERROR(VLOOKUP(B2,Reqs_and_Explanation,3,FALSE),""))</f>
        <v/>
      </c>
      <c r="D2" s="1" t="s">
        <v>205</v>
      </c>
      <c r="E2" s="1" t="s">
        <v>214</v>
      </c>
      <c r="F2" s="1" t="s">
        <v>2</v>
      </c>
      <c r="G2" s="1" t="s">
        <v>241</v>
      </c>
      <c r="H2" s="1" t="s">
        <v>228</v>
      </c>
    </row>
    <row r="3" spans="1:8" ht="45" x14ac:dyDescent="0.25">
      <c r="A3" s="1" t="str">
        <f t="shared" ref="A3:A66" si="1">IF(ISBLANK(B3),"","E"&amp;TEXT(ROW()-1,"000"))</f>
        <v>E002</v>
      </c>
      <c r="B3" s="1" t="s">
        <v>225</v>
      </c>
      <c r="C3" s="1" t="str">
        <f t="shared" si="0"/>
        <v>S-2.2</v>
      </c>
      <c r="D3" s="1" t="s">
        <v>203</v>
      </c>
      <c r="E3" s="1" t="s">
        <v>211</v>
      </c>
      <c r="F3" s="1" t="s">
        <v>2</v>
      </c>
      <c r="G3" s="1" t="s">
        <v>242</v>
      </c>
      <c r="H3" s="1" t="s">
        <v>240</v>
      </c>
    </row>
    <row r="4" spans="1:8" ht="45" x14ac:dyDescent="0.25">
      <c r="A4" s="1" t="str">
        <f t="shared" si="1"/>
        <v>E003</v>
      </c>
      <c r="B4" s="1" t="s">
        <v>225</v>
      </c>
      <c r="C4" s="1" t="str">
        <f t="shared" si="0"/>
        <v>S-2.2</v>
      </c>
      <c r="D4" s="1" t="s">
        <v>203</v>
      </c>
      <c r="E4" s="1" t="s">
        <v>214</v>
      </c>
      <c r="F4" s="1" t="s">
        <v>2</v>
      </c>
      <c r="G4" s="1" t="s">
        <v>243</v>
      </c>
      <c r="H4" s="1" t="s">
        <v>229</v>
      </c>
    </row>
    <row r="5" spans="1:8" ht="45" x14ac:dyDescent="0.25">
      <c r="A5" s="1" t="str">
        <f t="shared" si="1"/>
        <v>E004</v>
      </c>
      <c r="B5" s="1" t="s">
        <v>226</v>
      </c>
      <c r="C5" s="1" t="str">
        <f t="shared" si="0"/>
        <v>S-4.3</v>
      </c>
      <c r="D5" s="1" t="s">
        <v>205</v>
      </c>
      <c r="E5" s="1" t="s">
        <v>231</v>
      </c>
      <c r="F5" s="1" t="s">
        <v>2</v>
      </c>
      <c r="G5" s="1" t="s">
        <v>244</v>
      </c>
      <c r="H5" s="1" t="s">
        <v>233</v>
      </c>
    </row>
    <row r="6" spans="1:8" ht="60" x14ac:dyDescent="0.25">
      <c r="A6" s="1" t="str">
        <f t="shared" si="1"/>
        <v>E005</v>
      </c>
      <c r="B6" s="1" t="s">
        <v>226</v>
      </c>
      <c r="C6" s="1" t="str">
        <f t="shared" si="0"/>
        <v>S-4.3</v>
      </c>
      <c r="D6" s="1" t="s">
        <v>205</v>
      </c>
      <c r="E6" s="1" t="s">
        <v>212</v>
      </c>
      <c r="F6" s="1" t="s">
        <v>2</v>
      </c>
      <c r="G6" s="1" t="s">
        <v>245</v>
      </c>
      <c r="H6" s="1" t="s">
        <v>234</v>
      </c>
    </row>
    <row r="7" spans="1:8" ht="45" x14ac:dyDescent="0.25">
      <c r="A7" s="1" t="str">
        <f t="shared" si="1"/>
        <v>E006</v>
      </c>
      <c r="B7" s="1" t="s">
        <v>141</v>
      </c>
      <c r="C7" s="1" t="str">
        <f t="shared" si="0"/>
        <v>S-1.2</v>
      </c>
      <c r="D7" s="1" t="s">
        <v>203</v>
      </c>
      <c r="E7" s="1" t="s">
        <v>214</v>
      </c>
      <c r="F7" s="1" t="s">
        <v>0</v>
      </c>
      <c r="G7" s="1" t="s">
        <v>246</v>
      </c>
      <c r="H7" s="1" t="s">
        <v>236</v>
      </c>
    </row>
    <row r="8" spans="1:8" ht="45" x14ac:dyDescent="0.25">
      <c r="A8" s="1" t="str">
        <f t="shared" si="1"/>
        <v>E007</v>
      </c>
      <c r="B8" s="1" t="s">
        <v>141</v>
      </c>
      <c r="C8" s="1" t="str">
        <f t="shared" si="0"/>
        <v>S-1.2</v>
      </c>
      <c r="D8" s="1" t="s">
        <v>203</v>
      </c>
      <c r="E8" s="1" t="s">
        <v>214</v>
      </c>
      <c r="F8" s="1" t="s">
        <v>0</v>
      </c>
      <c r="G8" s="1" t="s">
        <v>247</v>
      </c>
      <c r="H8" s="1" t="s">
        <v>239</v>
      </c>
    </row>
    <row r="9" spans="1:8" ht="30" x14ac:dyDescent="0.25">
      <c r="A9" s="1" t="str">
        <f t="shared" si="1"/>
        <v>E008</v>
      </c>
      <c r="B9" s="1" t="s">
        <v>141</v>
      </c>
      <c r="C9" s="1" t="str">
        <f t="shared" si="0"/>
        <v>S-1.2</v>
      </c>
      <c r="D9" s="1" t="s">
        <v>227</v>
      </c>
      <c r="E9" s="1" t="s">
        <v>214</v>
      </c>
      <c r="F9" s="1" t="s">
        <v>1</v>
      </c>
      <c r="G9" s="1" t="s">
        <v>248</v>
      </c>
      <c r="H9" s="1" t="s">
        <v>249</v>
      </c>
    </row>
    <row r="10" spans="1:8" x14ac:dyDescent="0.25">
      <c r="A10" s="1" t="str">
        <f>IF(ISBLANK(B10),"","E"&amp;TEXT(ROW()-1,"000"))</f>
        <v>E009</v>
      </c>
      <c r="B10" s="1" t="s">
        <v>257</v>
      </c>
      <c r="C10" s="1" t="str">
        <f>IF(LEN(IFERROR(VLOOKUP(B10,Reqs_and_Explanation,3,FALSE),""))&lt;3,"",IFERROR(VLOOKUP(B10,Reqs_and_Explanation,3,FALSE),""))</f>
        <v/>
      </c>
      <c r="D10" s="1" t="s">
        <v>203</v>
      </c>
      <c r="E10" s="1" t="s">
        <v>214</v>
      </c>
      <c r="F10" s="1" t="s">
        <v>4</v>
      </c>
      <c r="G10" s="1" t="s">
        <v>271</v>
      </c>
      <c r="H10" s="1" t="s">
        <v>272</v>
      </c>
    </row>
    <row r="11" spans="1:8" x14ac:dyDescent="0.25">
      <c r="A11" s="1" t="str">
        <f t="shared" si="1"/>
        <v>E010</v>
      </c>
      <c r="B11" s="1" t="s">
        <v>257</v>
      </c>
      <c r="C11" s="1" t="str">
        <f>IF(LEN(IFERROR(VLOOKUP(B11,Reqs_and_Explanation,3,FALSE),""))&lt;3,"",IFERROR(VLOOKUP(B11,Reqs_and_Explanation,3,FALSE),""))</f>
        <v/>
      </c>
      <c r="D11" s="1" t="s">
        <v>204</v>
      </c>
      <c r="E11" s="1" t="s">
        <v>214</v>
      </c>
      <c r="F11" s="1" t="s">
        <v>4</v>
      </c>
      <c r="G11" s="1" t="s">
        <v>271</v>
      </c>
      <c r="H11" s="1" t="s">
        <v>272</v>
      </c>
    </row>
    <row r="12" spans="1:8" x14ac:dyDescent="0.25">
      <c r="A12" s="1" t="str">
        <f t="shared" si="1"/>
        <v>E011</v>
      </c>
      <c r="B12" s="1" t="s">
        <v>257</v>
      </c>
      <c r="C12" s="1" t="str">
        <f>IF(LEN(IFERROR(VLOOKUP(B12,Reqs_and_Explanation,3,FALSE),""))&lt;3,"",IFERROR(VLOOKUP(B12,Reqs_and_Explanation,3,FALSE),""))</f>
        <v/>
      </c>
      <c r="D12" s="1" t="s">
        <v>205</v>
      </c>
      <c r="E12" s="1" t="s">
        <v>214</v>
      </c>
      <c r="F12" s="1" t="s">
        <v>4</v>
      </c>
      <c r="G12" s="1" t="s">
        <v>271</v>
      </c>
      <c r="H12" s="1" t="s">
        <v>272</v>
      </c>
    </row>
    <row r="13" spans="1:8" x14ac:dyDescent="0.25">
      <c r="A13" s="1" t="str">
        <f t="shared" si="1"/>
        <v>E012</v>
      </c>
      <c r="B13" s="1" t="s">
        <v>257</v>
      </c>
      <c r="C13" s="1" t="str">
        <f>IF(LEN(IFERROR(VLOOKUP(B13,Reqs_and_Explanation,3,FALSE),""))&lt;3,"",IFERROR(VLOOKUP(B13,Reqs_and_Explanation,3,FALSE),""))</f>
        <v/>
      </c>
      <c r="D13" s="1" t="s">
        <v>206</v>
      </c>
      <c r="E13" s="1" t="s">
        <v>214</v>
      </c>
      <c r="F13" s="1" t="s">
        <v>4</v>
      </c>
      <c r="G13" s="1" t="s">
        <v>271</v>
      </c>
      <c r="H13" s="1" t="s">
        <v>272</v>
      </c>
    </row>
    <row r="14" spans="1:8" ht="30" x14ac:dyDescent="0.25">
      <c r="A14" s="1" t="str">
        <f t="shared" si="1"/>
        <v>E013</v>
      </c>
      <c r="B14" s="1" t="s">
        <v>259</v>
      </c>
      <c r="C14" s="1" t="str">
        <f>IF(LEN(IFERROR(VLOOKUP(B14,Reqs_and_Explanation,3,FALSE),""))&lt;3,"",IFERROR(VLOOKUP(B14,Reqs_and_Explanation,3,FALSE),""))</f>
        <v/>
      </c>
      <c r="D14" s="1" t="s">
        <v>204</v>
      </c>
      <c r="E14" s="1" t="s">
        <v>212</v>
      </c>
      <c r="F14" s="1" t="s">
        <v>1</v>
      </c>
      <c r="G14" s="1" t="s">
        <v>273</v>
      </c>
      <c r="H14" s="1" t="s">
        <v>276</v>
      </c>
    </row>
    <row r="15" spans="1:8" ht="30" x14ac:dyDescent="0.25">
      <c r="A15" s="1" t="str">
        <f t="shared" si="1"/>
        <v>E014</v>
      </c>
      <c r="B15" s="1" t="s">
        <v>259</v>
      </c>
      <c r="C15" s="1" t="str">
        <f>IF(LEN(IFERROR(VLOOKUP(B15,Reqs_and_Explanation,3,FALSE),""))&lt;3,"",IFERROR(VLOOKUP(B15,Reqs_and_Explanation,3,FALSE),""))</f>
        <v/>
      </c>
      <c r="D15" s="1" t="s">
        <v>203</v>
      </c>
      <c r="E15" s="1" t="s">
        <v>209</v>
      </c>
      <c r="F15" s="1" t="s">
        <v>1</v>
      </c>
      <c r="G15" s="1" t="s">
        <v>275</v>
      </c>
      <c r="H15" s="1" t="s">
        <v>274</v>
      </c>
    </row>
    <row r="16" spans="1:8" x14ac:dyDescent="0.25">
      <c r="A16" s="1" t="str">
        <f t="shared" si="1"/>
        <v>E015</v>
      </c>
      <c r="B16" s="1" t="s">
        <v>262</v>
      </c>
      <c r="C16" s="1" t="str">
        <f t="shared" si="0"/>
        <v/>
      </c>
      <c r="D16" s="1" t="s">
        <v>227</v>
      </c>
      <c r="E16" s="1" t="s">
        <v>214</v>
      </c>
      <c r="F16" s="1" t="s">
        <v>78</v>
      </c>
      <c r="G16" s="1" t="s">
        <v>277</v>
      </c>
      <c r="H16" s="1" t="s">
        <v>278</v>
      </c>
    </row>
    <row r="17" spans="1:8" ht="30" x14ac:dyDescent="0.25">
      <c r="A17" s="1" t="str">
        <f>IF(ISBLANK(B17),"","E"&amp;TEXT(ROW()-1,"000"))</f>
        <v>E016</v>
      </c>
      <c r="B17" s="1" t="s">
        <v>263</v>
      </c>
      <c r="C17" s="1" t="str">
        <f t="shared" si="0"/>
        <v/>
      </c>
      <c r="D17" s="1" t="s">
        <v>206</v>
      </c>
      <c r="E17" s="1" t="s">
        <v>211</v>
      </c>
      <c r="F17" s="1" t="s">
        <v>78</v>
      </c>
      <c r="G17" s="1" t="s">
        <v>279</v>
      </c>
      <c r="H17" s="1" t="s">
        <v>280</v>
      </c>
    </row>
    <row r="18" spans="1:8" x14ac:dyDescent="0.25">
      <c r="A18" s="1" t="str">
        <f t="shared" si="1"/>
        <v>E017</v>
      </c>
      <c r="B18" s="1" t="s">
        <v>265</v>
      </c>
      <c r="C18" s="1" t="str">
        <f t="shared" si="0"/>
        <v/>
      </c>
      <c r="D18" s="1" t="s">
        <v>203</v>
      </c>
      <c r="E18" s="1" t="s">
        <v>213</v>
      </c>
      <c r="F18" s="1" t="s">
        <v>7</v>
      </c>
      <c r="G18" s="1" t="s">
        <v>281</v>
      </c>
      <c r="H18" s="1" t="s">
        <v>282</v>
      </c>
    </row>
    <row r="19" spans="1:8" x14ac:dyDescent="0.25">
      <c r="A19" s="1" t="str">
        <f t="shared" si="1"/>
        <v/>
      </c>
      <c r="C19" s="1" t="str">
        <f t="shared" si="0"/>
        <v/>
      </c>
    </row>
    <row r="20" spans="1:8" x14ac:dyDescent="0.25">
      <c r="A20" s="1" t="str">
        <f t="shared" si="1"/>
        <v/>
      </c>
      <c r="C20" s="1" t="str">
        <f t="shared" si="0"/>
        <v/>
      </c>
    </row>
    <row r="21" spans="1:8" x14ac:dyDescent="0.25">
      <c r="A21" s="1" t="str">
        <f t="shared" si="1"/>
        <v/>
      </c>
      <c r="C21" s="1" t="str">
        <f t="shared" si="0"/>
        <v/>
      </c>
    </row>
    <row r="22" spans="1:8" x14ac:dyDescent="0.25">
      <c r="A22" s="1" t="str">
        <f t="shared" si="1"/>
        <v/>
      </c>
      <c r="C22" s="1" t="str">
        <f t="shared" si="0"/>
        <v/>
      </c>
    </row>
    <row r="23" spans="1:8" x14ac:dyDescent="0.25">
      <c r="A23" s="1" t="str">
        <f t="shared" si="1"/>
        <v/>
      </c>
      <c r="C23" s="1" t="str">
        <f t="shared" si="0"/>
        <v/>
      </c>
    </row>
    <row r="24" spans="1:8" x14ac:dyDescent="0.25">
      <c r="A24" s="1" t="str">
        <f t="shared" si="1"/>
        <v/>
      </c>
      <c r="C24" s="1" t="str">
        <f t="shared" si="0"/>
        <v/>
      </c>
    </row>
    <row r="25" spans="1:8" x14ac:dyDescent="0.25">
      <c r="A25" s="1" t="str">
        <f t="shared" si="1"/>
        <v/>
      </c>
      <c r="C25" s="1" t="str">
        <f t="shared" si="0"/>
        <v/>
      </c>
    </row>
    <row r="26" spans="1:8" x14ac:dyDescent="0.25">
      <c r="A26" s="1" t="str">
        <f t="shared" si="1"/>
        <v/>
      </c>
      <c r="C26" s="1" t="str">
        <f t="shared" si="0"/>
        <v/>
      </c>
    </row>
    <row r="27" spans="1:8" x14ac:dyDescent="0.25">
      <c r="A27" s="1" t="str">
        <f t="shared" si="1"/>
        <v/>
      </c>
      <c r="C27" s="1" t="str">
        <f t="shared" si="0"/>
        <v/>
      </c>
    </row>
    <row r="28" spans="1:8" x14ac:dyDescent="0.25">
      <c r="A28" s="1" t="str">
        <f t="shared" si="1"/>
        <v/>
      </c>
      <c r="C28" s="1" t="str">
        <f t="shared" si="0"/>
        <v/>
      </c>
    </row>
    <row r="29" spans="1:8" x14ac:dyDescent="0.25">
      <c r="A29" s="1" t="str">
        <f t="shared" si="1"/>
        <v/>
      </c>
      <c r="C29" s="1" t="str">
        <f t="shared" si="0"/>
        <v/>
      </c>
    </row>
    <row r="30" spans="1:8" x14ac:dyDescent="0.25">
      <c r="A30" s="1" t="str">
        <f t="shared" si="1"/>
        <v/>
      </c>
      <c r="C30" s="1" t="str">
        <f t="shared" si="0"/>
        <v/>
      </c>
    </row>
    <row r="31" spans="1:8" x14ac:dyDescent="0.25">
      <c r="A31" s="1" t="str">
        <f t="shared" si="1"/>
        <v/>
      </c>
      <c r="C31" s="1" t="str">
        <f t="shared" si="0"/>
        <v/>
      </c>
    </row>
    <row r="32" spans="1:8" x14ac:dyDescent="0.25">
      <c r="A32" s="1" t="str">
        <f t="shared" si="1"/>
        <v/>
      </c>
      <c r="C32" s="1" t="str">
        <f t="shared" si="0"/>
        <v/>
      </c>
    </row>
    <row r="33" spans="1:3" x14ac:dyDescent="0.25">
      <c r="A33" s="1" t="str">
        <f t="shared" si="1"/>
        <v/>
      </c>
      <c r="C33" s="1" t="str">
        <f t="shared" si="0"/>
        <v/>
      </c>
    </row>
    <row r="34" spans="1:3" x14ac:dyDescent="0.25">
      <c r="A34" s="1" t="str">
        <f t="shared" si="1"/>
        <v/>
      </c>
      <c r="C34" s="1" t="str">
        <f t="shared" si="0"/>
        <v/>
      </c>
    </row>
    <row r="35" spans="1:3" x14ac:dyDescent="0.25">
      <c r="A35" s="1" t="str">
        <f t="shared" si="1"/>
        <v/>
      </c>
      <c r="C35" s="1" t="str">
        <f t="shared" si="0"/>
        <v/>
      </c>
    </row>
    <row r="36" spans="1:3" x14ac:dyDescent="0.25">
      <c r="A36" s="1" t="str">
        <f t="shared" si="1"/>
        <v/>
      </c>
      <c r="C36" s="1" t="str">
        <f t="shared" si="0"/>
        <v/>
      </c>
    </row>
    <row r="37" spans="1:3" x14ac:dyDescent="0.25">
      <c r="A37" s="1" t="str">
        <f t="shared" si="1"/>
        <v/>
      </c>
      <c r="C37" s="1" t="str">
        <f t="shared" si="0"/>
        <v/>
      </c>
    </row>
    <row r="38" spans="1:3" x14ac:dyDescent="0.25">
      <c r="A38" s="1" t="str">
        <f t="shared" si="1"/>
        <v/>
      </c>
      <c r="C38" s="1" t="str">
        <f t="shared" si="0"/>
        <v/>
      </c>
    </row>
    <row r="39" spans="1:3" x14ac:dyDescent="0.25">
      <c r="A39" s="1" t="str">
        <f t="shared" si="1"/>
        <v/>
      </c>
      <c r="C39" s="1" t="str">
        <f t="shared" si="0"/>
        <v/>
      </c>
    </row>
    <row r="40" spans="1:3" x14ac:dyDescent="0.25">
      <c r="A40" s="1" t="str">
        <f t="shared" si="1"/>
        <v/>
      </c>
      <c r="C40" s="1" t="str">
        <f t="shared" si="0"/>
        <v/>
      </c>
    </row>
    <row r="41" spans="1:3" x14ac:dyDescent="0.25">
      <c r="A41" s="1" t="str">
        <f t="shared" si="1"/>
        <v/>
      </c>
      <c r="C41" s="1" t="str">
        <f t="shared" si="0"/>
        <v/>
      </c>
    </row>
    <row r="42" spans="1:3" x14ac:dyDescent="0.25">
      <c r="A42" s="1" t="str">
        <f t="shared" si="1"/>
        <v/>
      </c>
      <c r="C42" s="1" t="str">
        <f t="shared" si="0"/>
        <v/>
      </c>
    </row>
    <row r="43" spans="1:3" x14ac:dyDescent="0.25">
      <c r="A43" s="1" t="str">
        <f t="shared" si="1"/>
        <v/>
      </c>
      <c r="C43" s="1" t="str">
        <f t="shared" si="0"/>
        <v/>
      </c>
    </row>
    <row r="44" spans="1:3" x14ac:dyDescent="0.25">
      <c r="A44" s="1" t="str">
        <f t="shared" si="1"/>
        <v/>
      </c>
      <c r="C44" s="1" t="str">
        <f t="shared" si="0"/>
        <v/>
      </c>
    </row>
    <row r="45" spans="1:3" x14ac:dyDescent="0.25">
      <c r="A45" s="1" t="str">
        <f t="shared" si="1"/>
        <v/>
      </c>
      <c r="C45" s="1" t="str">
        <f t="shared" si="0"/>
        <v/>
      </c>
    </row>
    <row r="46" spans="1:3" x14ac:dyDescent="0.25">
      <c r="A46" s="1" t="str">
        <f t="shared" si="1"/>
        <v/>
      </c>
      <c r="C46" s="1" t="str">
        <f t="shared" si="0"/>
        <v/>
      </c>
    </row>
    <row r="47" spans="1:3" x14ac:dyDescent="0.25">
      <c r="A47" s="1" t="str">
        <f t="shared" si="1"/>
        <v/>
      </c>
      <c r="C47" s="1" t="str">
        <f t="shared" si="0"/>
        <v/>
      </c>
    </row>
    <row r="48" spans="1:3" x14ac:dyDescent="0.25">
      <c r="A48" s="1" t="str">
        <f t="shared" si="1"/>
        <v/>
      </c>
      <c r="C48" s="1" t="str">
        <f t="shared" si="0"/>
        <v/>
      </c>
    </row>
    <row r="49" spans="1:3" x14ac:dyDescent="0.25">
      <c r="A49" s="1" t="str">
        <f t="shared" si="1"/>
        <v/>
      </c>
      <c r="C49" s="1" t="str">
        <f t="shared" si="0"/>
        <v/>
      </c>
    </row>
    <row r="50" spans="1:3" x14ac:dyDescent="0.25">
      <c r="A50" s="1" t="str">
        <f t="shared" si="1"/>
        <v/>
      </c>
      <c r="C50" s="1" t="str">
        <f t="shared" si="0"/>
        <v/>
      </c>
    </row>
    <row r="51" spans="1:3" x14ac:dyDescent="0.25">
      <c r="A51" s="1" t="str">
        <f t="shared" si="1"/>
        <v/>
      </c>
      <c r="C51" s="1" t="str">
        <f t="shared" si="0"/>
        <v/>
      </c>
    </row>
    <row r="52" spans="1:3" x14ac:dyDescent="0.25">
      <c r="A52" s="1" t="str">
        <f t="shared" si="1"/>
        <v/>
      </c>
      <c r="C52" s="1" t="str">
        <f t="shared" si="0"/>
        <v/>
      </c>
    </row>
    <row r="53" spans="1:3" x14ac:dyDescent="0.25">
      <c r="A53" s="1" t="str">
        <f t="shared" si="1"/>
        <v/>
      </c>
      <c r="C53" s="1" t="str">
        <f t="shared" si="0"/>
        <v/>
      </c>
    </row>
    <row r="54" spans="1:3" x14ac:dyDescent="0.25">
      <c r="A54" s="1" t="str">
        <f t="shared" si="1"/>
        <v/>
      </c>
      <c r="C54" s="1" t="str">
        <f t="shared" si="0"/>
        <v/>
      </c>
    </row>
    <row r="55" spans="1:3" x14ac:dyDescent="0.25">
      <c r="A55" s="1" t="str">
        <f t="shared" si="1"/>
        <v/>
      </c>
      <c r="C55" s="1" t="str">
        <f t="shared" si="0"/>
        <v/>
      </c>
    </row>
    <row r="56" spans="1:3" x14ac:dyDescent="0.25">
      <c r="A56" s="1" t="str">
        <f t="shared" si="1"/>
        <v/>
      </c>
      <c r="C56" s="1" t="str">
        <f t="shared" si="0"/>
        <v/>
      </c>
    </row>
    <row r="57" spans="1:3" x14ac:dyDescent="0.25">
      <c r="A57" s="1" t="str">
        <f t="shared" si="1"/>
        <v/>
      </c>
      <c r="C57" s="1" t="str">
        <f t="shared" si="0"/>
        <v/>
      </c>
    </row>
    <row r="58" spans="1:3" x14ac:dyDescent="0.25">
      <c r="A58" s="1" t="str">
        <f t="shared" si="1"/>
        <v/>
      </c>
      <c r="C58" s="1" t="str">
        <f t="shared" si="0"/>
        <v/>
      </c>
    </row>
    <row r="59" spans="1:3" x14ac:dyDescent="0.25">
      <c r="A59" s="1" t="str">
        <f t="shared" si="1"/>
        <v/>
      </c>
      <c r="C59" s="1" t="str">
        <f t="shared" si="0"/>
        <v/>
      </c>
    </row>
    <row r="60" spans="1:3" x14ac:dyDescent="0.25">
      <c r="A60" s="1" t="str">
        <f t="shared" si="1"/>
        <v/>
      </c>
      <c r="C60" s="1" t="str">
        <f t="shared" si="0"/>
        <v/>
      </c>
    </row>
    <row r="61" spans="1:3" x14ac:dyDescent="0.25">
      <c r="A61" s="1" t="str">
        <f t="shared" si="1"/>
        <v/>
      </c>
      <c r="C61" s="1" t="str">
        <f t="shared" si="0"/>
        <v/>
      </c>
    </row>
    <row r="62" spans="1:3" x14ac:dyDescent="0.25">
      <c r="A62" s="1" t="str">
        <f t="shared" si="1"/>
        <v/>
      </c>
      <c r="C62" s="1" t="str">
        <f t="shared" si="0"/>
        <v/>
      </c>
    </row>
    <row r="63" spans="1:3" x14ac:dyDescent="0.25">
      <c r="A63" s="1" t="str">
        <f t="shared" si="1"/>
        <v/>
      </c>
      <c r="C63" s="1" t="str">
        <f t="shared" si="0"/>
        <v/>
      </c>
    </row>
    <row r="64" spans="1:3" x14ac:dyDescent="0.25">
      <c r="A64" s="1" t="str">
        <f t="shared" si="1"/>
        <v/>
      </c>
      <c r="C64" s="1" t="str">
        <f t="shared" si="0"/>
        <v/>
      </c>
    </row>
    <row r="65" spans="1:3" x14ac:dyDescent="0.25">
      <c r="A65" s="1" t="str">
        <f t="shared" si="1"/>
        <v/>
      </c>
      <c r="C65" s="1" t="str">
        <f t="shared" si="0"/>
        <v/>
      </c>
    </row>
    <row r="66" spans="1:3" x14ac:dyDescent="0.25">
      <c r="A66" s="1" t="str">
        <f t="shared" si="1"/>
        <v/>
      </c>
      <c r="C66" s="1" t="str">
        <f t="shared" ref="C66:C129" si="2">IF(LEN(IFERROR(VLOOKUP(B66,Reqs_and_Explanation,3,FALSE),""))&lt;3,"",IFERROR(VLOOKUP(B66,Reqs_and_Explanation,3,FALSE),""))</f>
        <v/>
      </c>
    </row>
    <row r="67" spans="1:3" x14ac:dyDescent="0.25">
      <c r="A67" s="1" t="str">
        <f t="shared" ref="A67:A130" si="3">IF(ISBLANK(B67),"","E"&amp;TEXT(ROW()-1,"000"))</f>
        <v/>
      </c>
      <c r="C67" s="1" t="str">
        <f t="shared" si="2"/>
        <v/>
      </c>
    </row>
    <row r="68" spans="1:3" x14ac:dyDescent="0.25">
      <c r="A68" s="1" t="str">
        <f t="shared" si="3"/>
        <v/>
      </c>
      <c r="C68" s="1" t="str">
        <f t="shared" si="2"/>
        <v/>
      </c>
    </row>
    <row r="69" spans="1:3" x14ac:dyDescent="0.25">
      <c r="A69" s="1" t="str">
        <f t="shared" si="3"/>
        <v/>
      </c>
      <c r="C69" s="1" t="str">
        <f t="shared" si="2"/>
        <v/>
      </c>
    </row>
    <row r="70" spans="1:3" x14ac:dyDescent="0.25">
      <c r="A70" s="1" t="str">
        <f t="shared" si="3"/>
        <v/>
      </c>
      <c r="C70" s="1" t="str">
        <f t="shared" si="2"/>
        <v/>
      </c>
    </row>
    <row r="71" spans="1:3" x14ac:dyDescent="0.25">
      <c r="A71" s="1" t="str">
        <f t="shared" si="3"/>
        <v/>
      </c>
      <c r="C71" s="1" t="str">
        <f t="shared" si="2"/>
        <v/>
      </c>
    </row>
    <row r="72" spans="1:3" x14ac:dyDescent="0.25">
      <c r="A72" s="1" t="str">
        <f t="shared" si="3"/>
        <v/>
      </c>
      <c r="C72" s="1" t="str">
        <f t="shared" si="2"/>
        <v/>
      </c>
    </row>
    <row r="73" spans="1:3" x14ac:dyDescent="0.25">
      <c r="A73" s="1" t="str">
        <f t="shared" si="3"/>
        <v/>
      </c>
      <c r="C73" s="1" t="str">
        <f t="shared" si="2"/>
        <v/>
      </c>
    </row>
    <row r="74" spans="1:3" x14ac:dyDescent="0.25">
      <c r="A74" s="1" t="str">
        <f t="shared" si="3"/>
        <v/>
      </c>
      <c r="C74" s="1" t="str">
        <f t="shared" si="2"/>
        <v/>
      </c>
    </row>
    <row r="75" spans="1:3" x14ac:dyDescent="0.25">
      <c r="A75" s="1" t="str">
        <f t="shared" si="3"/>
        <v/>
      </c>
      <c r="C75" s="1" t="str">
        <f t="shared" si="2"/>
        <v/>
      </c>
    </row>
    <row r="76" spans="1:3" x14ac:dyDescent="0.25">
      <c r="A76" s="1" t="str">
        <f t="shared" si="3"/>
        <v/>
      </c>
      <c r="C76" s="1" t="str">
        <f t="shared" si="2"/>
        <v/>
      </c>
    </row>
    <row r="77" spans="1:3" x14ac:dyDescent="0.25">
      <c r="A77" s="1" t="str">
        <f t="shared" si="3"/>
        <v/>
      </c>
      <c r="C77" s="1" t="str">
        <f t="shared" si="2"/>
        <v/>
      </c>
    </row>
    <row r="78" spans="1:3" x14ac:dyDescent="0.25">
      <c r="A78" s="1" t="str">
        <f t="shared" si="3"/>
        <v/>
      </c>
      <c r="C78" s="1" t="str">
        <f t="shared" si="2"/>
        <v/>
      </c>
    </row>
    <row r="79" spans="1:3" x14ac:dyDescent="0.25">
      <c r="A79" s="1" t="str">
        <f t="shared" si="3"/>
        <v/>
      </c>
      <c r="C79" s="1" t="str">
        <f t="shared" si="2"/>
        <v/>
      </c>
    </row>
    <row r="80" spans="1:3" x14ac:dyDescent="0.25">
      <c r="A80" s="1" t="str">
        <f t="shared" si="3"/>
        <v/>
      </c>
      <c r="C80" s="1" t="str">
        <f t="shared" si="2"/>
        <v/>
      </c>
    </row>
    <row r="81" spans="1:3" x14ac:dyDescent="0.25">
      <c r="A81" s="1" t="str">
        <f t="shared" si="3"/>
        <v/>
      </c>
      <c r="C81" s="1" t="str">
        <f t="shared" si="2"/>
        <v/>
      </c>
    </row>
    <row r="82" spans="1:3" x14ac:dyDescent="0.25">
      <c r="A82" s="1" t="str">
        <f t="shared" si="3"/>
        <v/>
      </c>
      <c r="C82" s="1" t="str">
        <f t="shared" si="2"/>
        <v/>
      </c>
    </row>
    <row r="83" spans="1:3" x14ac:dyDescent="0.25">
      <c r="A83" s="1" t="str">
        <f t="shared" si="3"/>
        <v/>
      </c>
      <c r="C83" s="1" t="str">
        <f t="shared" si="2"/>
        <v/>
      </c>
    </row>
    <row r="84" spans="1:3" x14ac:dyDescent="0.25">
      <c r="A84" s="1" t="str">
        <f t="shared" si="3"/>
        <v/>
      </c>
      <c r="C84" s="1" t="str">
        <f t="shared" si="2"/>
        <v/>
      </c>
    </row>
    <row r="85" spans="1:3" x14ac:dyDescent="0.25">
      <c r="A85" s="1" t="str">
        <f t="shared" si="3"/>
        <v/>
      </c>
      <c r="C85" s="1" t="str">
        <f t="shared" si="2"/>
        <v/>
      </c>
    </row>
    <row r="86" spans="1:3" x14ac:dyDescent="0.25">
      <c r="A86" s="1" t="str">
        <f t="shared" si="3"/>
        <v/>
      </c>
      <c r="C86" s="1" t="str">
        <f t="shared" si="2"/>
        <v/>
      </c>
    </row>
    <row r="87" spans="1:3" x14ac:dyDescent="0.25">
      <c r="A87" s="1" t="str">
        <f t="shared" si="3"/>
        <v/>
      </c>
      <c r="C87" s="1" t="str">
        <f t="shared" si="2"/>
        <v/>
      </c>
    </row>
    <row r="88" spans="1:3" x14ac:dyDescent="0.25">
      <c r="A88" s="1" t="str">
        <f t="shared" si="3"/>
        <v/>
      </c>
      <c r="C88" s="1" t="str">
        <f t="shared" si="2"/>
        <v/>
      </c>
    </row>
    <row r="89" spans="1:3" x14ac:dyDescent="0.25">
      <c r="A89" s="1" t="str">
        <f t="shared" si="3"/>
        <v/>
      </c>
      <c r="C89" s="1" t="str">
        <f t="shared" si="2"/>
        <v/>
      </c>
    </row>
    <row r="90" spans="1:3" x14ac:dyDescent="0.25">
      <c r="A90" s="1" t="str">
        <f t="shared" si="3"/>
        <v/>
      </c>
      <c r="C90" s="1" t="str">
        <f t="shared" si="2"/>
        <v/>
      </c>
    </row>
    <row r="91" spans="1:3" x14ac:dyDescent="0.25">
      <c r="A91" s="1" t="str">
        <f t="shared" si="3"/>
        <v/>
      </c>
      <c r="C91" s="1" t="str">
        <f t="shared" si="2"/>
        <v/>
      </c>
    </row>
    <row r="92" spans="1:3" x14ac:dyDescent="0.25">
      <c r="A92" s="1" t="str">
        <f t="shared" si="3"/>
        <v/>
      </c>
      <c r="C92" s="1" t="str">
        <f t="shared" si="2"/>
        <v/>
      </c>
    </row>
    <row r="93" spans="1:3" x14ac:dyDescent="0.25">
      <c r="A93" s="1" t="str">
        <f t="shared" si="3"/>
        <v/>
      </c>
      <c r="C93" s="1" t="str">
        <f t="shared" si="2"/>
        <v/>
      </c>
    </row>
    <row r="94" spans="1:3" x14ac:dyDescent="0.25">
      <c r="A94" s="1" t="str">
        <f t="shared" si="3"/>
        <v/>
      </c>
      <c r="C94" s="1" t="str">
        <f t="shared" si="2"/>
        <v/>
      </c>
    </row>
    <row r="95" spans="1:3" x14ac:dyDescent="0.25">
      <c r="A95" s="1" t="str">
        <f t="shared" si="3"/>
        <v/>
      </c>
      <c r="C95" s="1" t="str">
        <f t="shared" si="2"/>
        <v/>
      </c>
    </row>
    <row r="96" spans="1:3" x14ac:dyDescent="0.25">
      <c r="A96" s="1" t="str">
        <f t="shared" si="3"/>
        <v/>
      </c>
      <c r="C96" s="1" t="str">
        <f t="shared" si="2"/>
        <v/>
      </c>
    </row>
    <row r="97" spans="1:3" x14ac:dyDescent="0.25">
      <c r="A97" s="1" t="str">
        <f t="shared" si="3"/>
        <v/>
      </c>
      <c r="C97" s="1" t="str">
        <f t="shared" si="2"/>
        <v/>
      </c>
    </row>
    <row r="98" spans="1:3" x14ac:dyDescent="0.25">
      <c r="A98" s="1" t="str">
        <f t="shared" si="3"/>
        <v/>
      </c>
      <c r="C98" s="1" t="str">
        <f t="shared" si="2"/>
        <v/>
      </c>
    </row>
    <row r="99" spans="1:3" x14ac:dyDescent="0.25">
      <c r="A99" s="1" t="str">
        <f t="shared" si="3"/>
        <v/>
      </c>
      <c r="C99" s="1" t="str">
        <f t="shared" si="2"/>
        <v/>
      </c>
    </row>
    <row r="100" spans="1:3" x14ac:dyDescent="0.25">
      <c r="A100" s="1" t="str">
        <f t="shared" si="3"/>
        <v/>
      </c>
      <c r="C100" s="1" t="str">
        <f t="shared" si="2"/>
        <v/>
      </c>
    </row>
    <row r="101" spans="1:3" x14ac:dyDescent="0.25">
      <c r="A101" s="1" t="str">
        <f t="shared" si="3"/>
        <v/>
      </c>
      <c r="C101" s="1" t="str">
        <f t="shared" si="2"/>
        <v/>
      </c>
    </row>
    <row r="102" spans="1:3" x14ac:dyDescent="0.25">
      <c r="A102" s="1" t="str">
        <f t="shared" si="3"/>
        <v/>
      </c>
      <c r="C102" s="1" t="str">
        <f t="shared" si="2"/>
        <v/>
      </c>
    </row>
    <row r="103" spans="1:3" x14ac:dyDescent="0.25">
      <c r="A103" s="1" t="str">
        <f t="shared" si="3"/>
        <v/>
      </c>
      <c r="C103" s="1" t="str">
        <f t="shared" si="2"/>
        <v/>
      </c>
    </row>
    <row r="104" spans="1:3" x14ac:dyDescent="0.25">
      <c r="A104" s="1" t="str">
        <f t="shared" si="3"/>
        <v/>
      </c>
      <c r="C104" s="1" t="str">
        <f t="shared" si="2"/>
        <v/>
      </c>
    </row>
    <row r="105" spans="1:3" x14ac:dyDescent="0.25">
      <c r="A105" s="1" t="str">
        <f t="shared" si="3"/>
        <v/>
      </c>
      <c r="C105" s="1" t="str">
        <f t="shared" si="2"/>
        <v/>
      </c>
    </row>
    <row r="106" spans="1:3" x14ac:dyDescent="0.25">
      <c r="A106" s="1" t="str">
        <f t="shared" si="3"/>
        <v/>
      </c>
      <c r="C106" s="1" t="str">
        <f t="shared" si="2"/>
        <v/>
      </c>
    </row>
    <row r="107" spans="1:3" x14ac:dyDescent="0.25">
      <c r="A107" s="1" t="str">
        <f t="shared" si="3"/>
        <v/>
      </c>
      <c r="C107" s="1" t="str">
        <f t="shared" si="2"/>
        <v/>
      </c>
    </row>
    <row r="108" spans="1:3" x14ac:dyDescent="0.25">
      <c r="A108" s="1" t="str">
        <f t="shared" si="3"/>
        <v/>
      </c>
      <c r="C108" s="1" t="str">
        <f t="shared" si="2"/>
        <v/>
      </c>
    </row>
    <row r="109" spans="1:3" x14ac:dyDescent="0.25">
      <c r="A109" s="1" t="str">
        <f t="shared" si="3"/>
        <v/>
      </c>
      <c r="C109" s="1" t="str">
        <f t="shared" si="2"/>
        <v/>
      </c>
    </row>
    <row r="110" spans="1:3" x14ac:dyDescent="0.25">
      <c r="A110" s="1" t="str">
        <f t="shared" si="3"/>
        <v/>
      </c>
      <c r="C110" s="1" t="str">
        <f t="shared" si="2"/>
        <v/>
      </c>
    </row>
    <row r="111" spans="1:3" x14ac:dyDescent="0.25">
      <c r="A111" s="1" t="str">
        <f t="shared" si="3"/>
        <v/>
      </c>
      <c r="C111" s="1" t="str">
        <f t="shared" si="2"/>
        <v/>
      </c>
    </row>
    <row r="112" spans="1:3" x14ac:dyDescent="0.25">
      <c r="A112" s="1" t="str">
        <f t="shared" si="3"/>
        <v/>
      </c>
      <c r="C112" s="1" t="str">
        <f t="shared" si="2"/>
        <v/>
      </c>
    </row>
    <row r="113" spans="1:3" x14ac:dyDescent="0.25">
      <c r="A113" s="1" t="str">
        <f t="shared" si="3"/>
        <v/>
      </c>
      <c r="C113" s="1" t="str">
        <f t="shared" si="2"/>
        <v/>
      </c>
    </row>
    <row r="114" spans="1:3" x14ac:dyDescent="0.25">
      <c r="A114" s="1" t="str">
        <f t="shared" si="3"/>
        <v/>
      </c>
      <c r="C114" s="1" t="str">
        <f t="shared" si="2"/>
        <v/>
      </c>
    </row>
    <row r="115" spans="1:3" x14ac:dyDescent="0.25">
      <c r="A115" s="1" t="str">
        <f t="shared" si="3"/>
        <v/>
      </c>
      <c r="C115" s="1" t="str">
        <f t="shared" si="2"/>
        <v/>
      </c>
    </row>
    <row r="116" spans="1:3" x14ac:dyDescent="0.25">
      <c r="A116" s="1" t="str">
        <f t="shared" si="3"/>
        <v/>
      </c>
      <c r="C116" s="1" t="str">
        <f t="shared" si="2"/>
        <v/>
      </c>
    </row>
    <row r="117" spans="1:3" x14ac:dyDescent="0.25">
      <c r="A117" s="1" t="str">
        <f t="shared" si="3"/>
        <v/>
      </c>
      <c r="C117" s="1" t="str">
        <f t="shared" si="2"/>
        <v/>
      </c>
    </row>
    <row r="118" spans="1:3" x14ac:dyDescent="0.25">
      <c r="A118" s="1" t="str">
        <f t="shared" si="3"/>
        <v/>
      </c>
      <c r="C118" s="1" t="str">
        <f t="shared" si="2"/>
        <v/>
      </c>
    </row>
    <row r="119" spans="1:3" x14ac:dyDescent="0.25">
      <c r="A119" s="1" t="str">
        <f t="shared" si="3"/>
        <v/>
      </c>
      <c r="C119" s="1" t="str">
        <f t="shared" si="2"/>
        <v/>
      </c>
    </row>
    <row r="120" spans="1:3" x14ac:dyDescent="0.25">
      <c r="A120" s="1" t="str">
        <f t="shared" si="3"/>
        <v/>
      </c>
      <c r="C120" s="1" t="str">
        <f t="shared" si="2"/>
        <v/>
      </c>
    </row>
    <row r="121" spans="1:3" x14ac:dyDescent="0.25">
      <c r="A121" s="1" t="str">
        <f t="shared" si="3"/>
        <v/>
      </c>
      <c r="C121" s="1" t="str">
        <f t="shared" si="2"/>
        <v/>
      </c>
    </row>
    <row r="122" spans="1:3" x14ac:dyDescent="0.25">
      <c r="A122" s="1" t="str">
        <f t="shared" si="3"/>
        <v/>
      </c>
      <c r="C122" s="1" t="str">
        <f t="shared" si="2"/>
        <v/>
      </c>
    </row>
    <row r="123" spans="1:3" x14ac:dyDescent="0.25">
      <c r="A123" s="1" t="str">
        <f t="shared" si="3"/>
        <v/>
      </c>
      <c r="C123" s="1" t="str">
        <f t="shared" si="2"/>
        <v/>
      </c>
    </row>
    <row r="124" spans="1:3" x14ac:dyDescent="0.25">
      <c r="A124" s="1" t="str">
        <f t="shared" si="3"/>
        <v/>
      </c>
      <c r="C124" s="1" t="str">
        <f t="shared" si="2"/>
        <v/>
      </c>
    </row>
    <row r="125" spans="1:3" x14ac:dyDescent="0.25">
      <c r="A125" s="1" t="str">
        <f t="shared" si="3"/>
        <v/>
      </c>
      <c r="C125" s="1" t="str">
        <f t="shared" si="2"/>
        <v/>
      </c>
    </row>
    <row r="126" spans="1:3" x14ac:dyDescent="0.25">
      <c r="A126" s="1" t="str">
        <f t="shared" si="3"/>
        <v/>
      </c>
      <c r="C126" s="1" t="str">
        <f t="shared" si="2"/>
        <v/>
      </c>
    </row>
    <row r="127" spans="1:3" x14ac:dyDescent="0.25">
      <c r="A127" s="1" t="str">
        <f t="shared" si="3"/>
        <v/>
      </c>
      <c r="C127" s="1" t="str">
        <f t="shared" si="2"/>
        <v/>
      </c>
    </row>
    <row r="128" spans="1:3" x14ac:dyDescent="0.25">
      <c r="A128" s="1" t="str">
        <f t="shared" si="3"/>
        <v/>
      </c>
      <c r="C128" s="1" t="str">
        <f t="shared" si="2"/>
        <v/>
      </c>
    </row>
    <row r="129" spans="1:3" x14ac:dyDescent="0.25">
      <c r="A129" s="1" t="str">
        <f t="shared" si="3"/>
        <v/>
      </c>
      <c r="C129" s="1" t="str">
        <f t="shared" si="2"/>
        <v/>
      </c>
    </row>
    <row r="130" spans="1:3" x14ac:dyDescent="0.25">
      <c r="A130" s="1" t="str">
        <f t="shared" si="3"/>
        <v/>
      </c>
      <c r="C130" s="1" t="str">
        <f t="shared" ref="C130:C193" si="4">IF(LEN(IFERROR(VLOOKUP(B130,Reqs_and_Explanation,3,FALSE),""))&lt;3,"",IFERROR(VLOOKUP(B130,Reqs_and_Explanation,3,FALSE),""))</f>
        <v/>
      </c>
    </row>
    <row r="131" spans="1:3" x14ac:dyDescent="0.25">
      <c r="A131" s="1" t="str">
        <f t="shared" ref="A131:A194" si="5">IF(ISBLANK(B131),"","E"&amp;TEXT(ROW()-1,"000"))</f>
        <v/>
      </c>
      <c r="C131" s="1" t="str">
        <f t="shared" si="4"/>
        <v/>
      </c>
    </row>
    <row r="132" spans="1:3" x14ac:dyDescent="0.25">
      <c r="A132" s="1" t="str">
        <f t="shared" si="5"/>
        <v/>
      </c>
      <c r="C132" s="1" t="str">
        <f t="shared" si="4"/>
        <v/>
      </c>
    </row>
    <row r="133" spans="1:3" x14ac:dyDescent="0.25">
      <c r="A133" s="1" t="str">
        <f t="shared" si="5"/>
        <v/>
      </c>
      <c r="C133" s="1" t="str">
        <f t="shared" si="4"/>
        <v/>
      </c>
    </row>
    <row r="134" spans="1:3" x14ac:dyDescent="0.25">
      <c r="A134" s="1" t="str">
        <f t="shared" si="5"/>
        <v/>
      </c>
      <c r="C134" s="1" t="str">
        <f t="shared" si="4"/>
        <v/>
      </c>
    </row>
    <row r="135" spans="1:3" x14ac:dyDescent="0.25">
      <c r="A135" s="1" t="str">
        <f t="shared" si="5"/>
        <v/>
      </c>
      <c r="C135" s="1" t="str">
        <f t="shared" si="4"/>
        <v/>
      </c>
    </row>
    <row r="136" spans="1:3" x14ac:dyDescent="0.25">
      <c r="A136" s="1" t="str">
        <f t="shared" si="5"/>
        <v/>
      </c>
      <c r="C136" s="1" t="str">
        <f t="shared" si="4"/>
        <v/>
      </c>
    </row>
    <row r="137" spans="1:3" x14ac:dyDescent="0.25">
      <c r="A137" s="1" t="str">
        <f t="shared" si="5"/>
        <v/>
      </c>
      <c r="C137" s="1" t="str">
        <f t="shared" si="4"/>
        <v/>
      </c>
    </row>
    <row r="138" spans="1:3" x14ac:dyDescent="0.25">
      <c r="A138" s="1" t="str">
        <f t="shared" si="5"/>
        <v/>
      </c>
      <c r="C138" s="1" t="str">
        <f t="shared" si="4"/>
        <v/>
      </c>
    </row>
    <row r="139" spans="1:3" x14ac:dyDescent="0.25">
      <c r="A139" s="1" t="str">
        <f t="shared" si="5"/>
        <v/>
      </c>
      <c r="C139" s="1" t="str">
        <f t="shared" si="4"/>
        <v/>
      </c>
    </row>
    <row r="140" spans="1:3" x14ac:dyDescent="0.25">
      <c r="A140" s="1" t="str">
        <f t="shared" si="5"/>
        <v/>
      </c>
      <c r="C140" s="1" t="str">
        <f t="shared" si="4"/>
        <v/>
      </c>
    </row>
    <row r="141" spans="1:3" x14ac:dyDescent="0.25">
      <c r="A141" s="1" t="str">
        <f t="shared" si="5"/>
        <v/>
      </c>
      <c r="C141" s="1" t="str">
        <f t="shared" si="4"/>
        <v/>
      </c>
    </row>
    <row r="142" spans="1:3" x14ac:dyDescent="0.25">
      <c r="A142" s="1" t="str">
        <f t="shared" si="5"/>
        <v/>
      </c>
      <c r="C142" s="1" t="str">
        <f t="shared" si="4"/>
        <v/>
      </c>
    </row>
    <row r="143" spans="1:3" x14ac:dyDescent="0.25">
      <c r="A143" s="1" t="str">
        <f t="shared" si="5"/>
        <v/>
      </c>
      <c r="C143" s="1" t="str">
        <f t="shared" si="4"/>
        <v/>
      </c>
    </row>
    <row r="144" spans="1:3" x14ac:dyDescent="0.25">
      <c r="A144" s="1" t="str">
        <f t="shared" si="5"/>
        <v/>
      </c>
      <c r="C144" s="1" t="str">
        <f t="shared" si="4"/>
        <v/>
      </c>
    </row>
    <row r="145" spans="1:3" x14ac:dyDescent="0.25">
      <c r="A145" s="1" t="str">
        <f t="shared" si="5"/>
        <v/>
      </c>
      <c r="C145" s="1" t="str">
        <f t="shared" si="4"/>
        <v/>
      </c>
    </row>
    <row r="146" spans="1:3" x14ac:dyDescent="0.25">
      <c r="A146" s="1" t="str">
        <f t="shared" si="5"/>
        <v/>
      </c>
      <c r="C146" s="1" t="str">
        <f t="shared" si="4"/>
        <v/>
      </c>
    </row>
    <row r="147" spans="1:3" x14ac:dyDescent="0.25">
      <c r="A147" s="1" t="str">
        <f t="shared" si="5"/>
        <v/>
      </c>
      <c r="C147" s="1" t="str">
        <f t="shared" si="4"/>
        <v/>
      </c>
    </row>
    <row r="148" spans="1:3" x14ac:dyDescent="0.25">
      <c r="A148" s="1" t="str">
        <f t="shared" si="5"/>
        <v/>
      </c>
      <c r="C148" s="1" t="str">
        <f t="shared" si="4"/>
        <v/>
      </c>
    </row>
    <row r="149" spans="1:3" x14ac:dyDescent="0.25">
      <c r="A149" s="1" t="str">
        <f t="shared" si="5"/>
        <v/>
      </c>
      <c r="C149" s="1" t="str">
        <f t="shared" si="4"/>
        <v/>
      </c>
    </row>
    <row r="150" spans="1:3" x14ac:dyDescent="0.25">
      <c r="A150" s="1" t="str">
        <f t="shared" si="5"/>
        <v/>
      </c>
      <c r="C150" s="1" t="str">
        <f t="shared" si="4"/>
        <v/>
      </c>
    </row>
    <row r="151" spans="1:3" x14ac:dyDescent="0.25">
      <c r="A151" s="1" t="str">
        <f t="shared" si="5"/>
        <v/>
      </c>
      <c r="C151" s="1" t="str">
        <f t="shared" si="4"/>
        <v/>
      </c>
    </row>
    <row r="152" spans="1:3" x14ac:dyDescent="0.25">
      <c r="A152" s="1" t="str">
        <f t="shared" si="5"/>
        <v/>
      </c>
      <c r="C152" s="1" t="str">
        <f t="shared" si="4"/>
        <v/>
      </c>
    </row>
    <row r="153" spans="1:3" x14ac:dyDescent="0.25">
      <c r="A153" s="1" t="str">
        <f t="shared" si="5"/>
        <v/>
      </c>
      <c r="C153" s="1" t="str">
        <f t="shared" si="4"/>
        <v/>
      </c>
    </row>
    <row r="154" spans="1:3" x14ac:dyDescent="0.25">
      <c r="A154" s="1" t="str">
        <f t="shared" si="5"/>
        <v/>
      </c>
      <c r="C154" s="1" t="str">
        <f t="shared" si="4"/>
        <v/>
      </c>
    </row>
    <row r="155" spans="1:3" x14ac:dyDescent="0.25">
      <c r="A155" s="1" t="str">
        <f t="shared" si="5"/>
        <v/>
      </c>
      <c r="C155" s="1" t="str">
        <f t="shared" si="4"/>
        <v/>
      </c>
    </row>
    <row r="156" spans="1:3" x14ac:dyDescent="0.25">
      <c r="A156" s="1" t="str">
        <f t="shared" si="5"/>
        <v/>
      </c>
      <c r="C156" s="1" t="str">
        <f t="shared" si="4"/>
        <v/>
      </c>
    </row>
    <row r="157" spans="1:3" x14ac:dyDescent="0.25">
      <c r="A157" s="1" t="str">
        <f t="shared" si="5"/>
        <v/>
      </c>
      <c r="C157" s="1" t="str">
        <f t="shared" si="4"/>
        <v/>
      </c>
    </row>
    <row r="158" spans="1:3" x14ac:dyDescent="0.25">
      <c r="A158" s="1" t="str">
        <f t="shared" si="5"/>
        <v/>
      </c>
      <c r="C158" s="1" t="str">
        <f t="shared" si="4"/>
        <v/>
      </c>
    </row>
    <row r="159" spans="1:3" x14ac:dyDescent="0.25">
      <c r="A159" s="1" t="str">
        <f t="shared" si="5"/>
        <v/>
      </c>
      <c r="C159" s="1" t="str">
        <f t="shared" si="4"/>
        <v/>
      </c>
    </row>
    <row r="160" spans="1:3" x14ac:dyDescent="0.25">
      <c r="A160" s="1" t="str">
        <f t="shared" si="5"/>
        <v/>
      </c>
      <c r="C160" s="1" t="str">
        <f t="shared" si="4"/>
        <v/>
      </c>
    </row>
    <row r="161" spans="1:3" x14ac:dyDescent="0.25">
      <c r="A161" s="1" t="str">
        <f t="shared" si="5"/>
        <v/>
      </c>
      <c r="C161" s="1" t="str">
        <f t="shared" si="4"/>
        <v/>
      </c>
    </row>
    <row r="162" spans="1:3" x14ac:dyDescent="0.25">
      <c r="A162" s="1" t="str">
        <f t="shared" si="5"/>
        <v/>
      </c>
      <c r="C162" s="1" t="str">
        <f t="shared" si="4"/>
        <v/>
      </c>
    </row>
    <row r="163" spans="1:3" x14ac:dyDescent="0.25">
      <c r="A163" s="1" t="str">
        <f t="shared" si="5"/>
        <v/>
      </c>
      <c r="C163" s="1" t="str">
        <f t="shared" si="4"/>
        <v/>
      </c>
    </row>
    <row r="164" spans="1:3" x14ac:dyDescent="0.25">
      <c r="A164" s="1" t="str">
        <f t="shared" si="5"/>
        <v/>
      </c>
      <c r="C164" s="1" t="str">
        <f t="shared" si="4"/>
        <v/>
      </c>
    </row>
    <row r="165" spans="1:3" x14ac:dyDescent="0.25">
      <c r="A165" s="1" t="str">
        <f t="shared" si="5"/>
        <v/>
      </c>
      <c r="C165" s="1" t="str">
        <f t="shared" si="4"/>
        <v/>
      </c>
    </row>
    <row r="166" spans="1:3" x14ac:dyDescent="0.25">
      <c r="A166" s="1" t="str">
        <f t="shared" si="5"/>
        <v/>
      </c>
      <c r="C166" s="1" t="str">
        <f t="shared" si="4"/>
        <v/>
      </c>
    </row>
    <row r="167" spans="1:3" x14ac:dyDescent="0.25">
      <c r="A167" s="1" t="str">
        <f t="shared" si="5"/>
        <v/>
      </c>
      <c r="C167" s="1" t="str">
        <f t="shared" si="4"/>
        <v/>
      </c>
    </row>
    <row r="168" spans="1:3" x14ac:dyDescent="0.25">
      <c r="A168" s="1" t="str">
        <f t="shared" si="5"/>
        <v/>
      </c>
      <c r="C168" s="1" t="str">
        <f t="shared" si="4"/>
        <v/>
      </c>
    </row>
    <row r="169" spans="1:3" x14ac:dyDescent="0.25">
      <c r="A169" s="1" t="str">
        <f t="shared" si="5"/>
        <v/>
      </c>
      <c r="C169" s="1" t="str">
        <f t="shared" si="4"/>
        <v/>
      </c>
    </row>
    <row r="170" spans="1:3" x14ac:dyDescent="0.25">
      <c r="A170" s="1" t="str">
        <f t="shared" si="5"/>
        <v/>
      </c>
      <c r="C170" s="1" t="str">
        <f t="shared" si="4"/>
        <v/>
      </c>
    </row>
    <row r="171" spans="1:3" x14ac:dyDescent="0.25">
      <c r="A171" s="1" t="str">
        <f t="shared" si="5"/>
        <v/>
      </c>
      <c r="C171" s="1" t="str">
        <f t="shared" si="4"/>
        <v/>
      </c>
    </row>
    <row r="172" spans="1:3" x14ac:dyDescent="0.25">
      <c r="A172" s="1" t="str">
        <f t="shared" si="5"/>
        <v/>
      </c>
      <c r="C172" s="1" t="str">
        <f t="shared" si="4"/>
        <v/>
      </c>
    </row>
    <row r="173" spans="1:3" x14ac:dyDescent="0.25">
      <c r="A173" s="1" t="str">
        <f t="shared" si="5"/>
        <v/>
      </c>
      <c r="C173" s="1" t="str">
        <f t="shared" si="4"/>
        <v/>
      </c>
    </row>
    <row r="174" spans="1:3" x14ac:dyDescent="0.25">
      <c r="A174" s="1" t="str">
        <f t="shared" si="5"/>
        <v/>
      </c>
      <c r="C174" s="1" t="str">
        <f t="shared" si="4"/>
        <v/>
      </c>
    </row>
    <row r="175" spans="1:3" x14ac:dyDescent="0.25">
      <c r="A175" s="1" t="str">
        <f t="shared" si="5"/>
        <v/>
      </c>
      <c r="C175" s="1" t="str">
        <f t="shared" si="4"/>
        <v/>
      </c>
    </row>
    <row r="176" spans="1:3" x14ac:dyDescent="0.25">
      <c r="A176" s="1" t="str">
        <f t="shared" si="5"/>
        <v/>
      </c>
      <c r="C176" s="1" t="str">
        <f t="shared" si="4"/>
        <v/>
      </c>
    </row>
    <row r="177" spans="1:3" x14ac:dyDescent="0.25">
      <c r="A177" s="1" t="str">
        <f t="shared" si="5"/>
        <v/>
      </c>
      <c r="C177" s="1" t="str">
        <f t="shared" si="4"/>
        <v/>
      </c>
    </row>
    <row r="178" spans="1:3" x14ac:dyDescent="0.25">
      <c r="A178" s="1" t="str">
        <f t="shared" si="5"/>
        <v/>
      </c>
      <c r="C178" s="1" t="str">
        <f t="shared" si="4"/>
        <v/>
      </c>
    </row>
    <row r="179" spans="1:3" x14ac:dyDescent="0.25">
      <c r="A179" s="1" t="str">
        <f t="shared" si="5"/>
        <v/>
      </c>
      <c r="C179" s="1" t="str">
        <f t="shared" si="4"/>
        <v/>
      </c>
    </row>
    <row r="180" spans="1:3" x14ac:dyDescent="0.25">
      <c r="A180" s="1" t="str">
        <f t="shared" si="5"/>
        <v/>
      </c>
      <c r="C180" s="1" t="str">
        <f t="shared" si="4"/>
        <v/>
      </c>
    </row>
    <row r="181" spans="1:3" x14ac:dyDescent="0.25">
      <c r="A181" s="1" t="str">
        <f t="shared" si="5"/>
        <v/>
      </c>
      <c r="C181" s="1" t="str">
        <f t="shared" si="4"/>
        <v/>
      </c>
    </row>
    <row r="182" spans="1:3" x14ac:dyDescent="0.25">
      <c r="A182" s="1" t="str">
        <f t="shared" si="5"/>
        <v/>
      </c>
      <c r="C182" s="1" t="str">
        <f t="shared" si="4"/>
        <v/>
      </c>
    </row>
    <row r="183" spans="1:3" x14ac:dyDescent="0.25">
      <c r="A183" s="1" t="str">
        <f t="shared" si="5"/>
        <v/>
      </c>
      <c r="C183" s="1" t="str">
        <f t="shared" si="4"/>
        <v/>
      </c>
    </row>
    <row r="184" spans="1:3" x14ac:dyDescent="0.25">
      <c r="A184" s="1" t="str">
        <f t="shared" si="5"/>
        <v/>
      </c>
      <c r="C184" s="1" t="str">
        <f t="shared" si="4"/>
        <v/>
      </c>
    </row>
    <row r="185" spans="1:3" x14ac:dyDescent="0.25">
      <c r="A185" s="1" t="str">
        <f t="shared" si="5"/>
        <v/>
      </c>
      <c r="C185" s="1" t="str">
        <f t="shared" si="4"/>
        <v/>
      </c>
    </row>
    <row r="186" spans="1:3" x14ac:dyDescent="0.25">
      <c r="A186" s="1" t="str">
        <f t="shared" si="5"/>
        <v/>
      </c>
      <c r="C186" s="1" t="str">
        <f t="shared" si="4"/>
        <v/>
      </c>
    </row>
    <row r="187" spans="1:3" x14ac:dyDescent="0.25">
      <c r="A187" s="1" t="str">
        <f t="shared" si="5"/>
        <v/>
      </c>
      <c r="C187" s="1" t="str">
        <f t="shared" si="4"/>
        <v/>
      </c>
    </row>
    <row r="188" spans="1:3" x14ac:dyDescent="0.25">
      <c r="A188" s="1" t="str">
        <f t="shared" si="5"/>
        <v/>
      </c>
      <c r="C188" s="1" t="str">
        <f t="shared" si="4"/>
        <v/>
      </c>
    </row>
    <row r="189" spans="1:3" x14ac:dyDescent="0.25">
      <c r="A189" s="1" t="str">
        <f t="shared" si="5"/>
        <v/>
      </c>
      <c r="C189" s="1" t="str">
        <f t="shared" si="4"/>
        <v/>
      </c>
    </row>
    <row r="190" spans="1:3" x14ac:dyDescent="0.25">
      <c r="A190" s="1" t="str">
        <f t="shared" si="5"/>
        <v/>
      </c>
      <c r="C190" s="1" t="str">
        <f t="shared" si="4"/>
        <v/>
      </c>
    </row>
    <row r="191" spans="1:3" x14ac:dyDescent="0.25">
      <c r="A191" s="1" t="str">
        <f t="shared" si="5"/>
        <v/>
      </c>
      <c r="C191" s="1" t="str">
        <f t="shared" si="4"/>
        <v/>
      </c>
    </row>
    <row r="192" spans="1:3" x14ac:dyDescent="0.25">
      <c r="A192" s="1" t="str">
        <f t="shared" si="5"/>
        <v/>
      </c>
      <c r="C192" s="1" t="str">
        <f t="shared" si="4"/>
        <v/>
      </c>
    </row>
    <row r="193" spans="1:3" x14ac:dyDescent="0.25">
      <c r="A193" s="1" t="str">
        <f t="shared" si="5"/>
        <v/>
      </c>
      <c r="C193" s="1" t="str">
        <f t="shared" si="4"/>
        <v/>
      </c>
    </row>
    <row r="194" spans="1:3" x14ac:dyDescent="0.25">
      <c r="A194" s="1" t="str">
        <f t="shared" si="5"/>
        <v/>
      </c>
      <c r="C194" s="1" t="str">
        <f t="shared" ref="C194:C257" si="6">IF(LEN(IFERROR(VLOOKUP(B194,Reqs_and_Explanation,3,FALSE),""))&lt;3,"",IFERROR(VLOOKUP(B194,Reqs_and_Explanation,3,FALSE),""))</f>
        <v/>
      </c>
    </row>
    <row r="195" spans="1:3" x14ac:dyDescent="0.25">
      <c r="A195" s="1" t="str">
        <f t="shared" ref="A195:A258" si="7">IF(ISBLANK(B195),"","E"&amp;TEXT(ROW()-1,"000"))</f>
        <v/>
      </c>
      <c r="C195" s="1" t="str">
        <f t="shared" si="6"/>
        <v/>
      </c>
    </row>
    <row r="196" spans="1:3" x14ac:dyDescent="0.25">
      <c r="A196" s="1" t="str">
        <f t="shared" si="7"/>
        <v/>
      </c>
      <c r="C196" s="1" t="str">
        <f t="shared" si="6"/>
        <v/>
      </c>
    </row>
    <row r="197" spans="1:3" x14ac:dyDescent="0.25">
      <c r="A197" s="1" t="str">
        <f t="shared" si="7"/>
        <v/>
      </c>
      <c r="C197" s="1" t="str">
        <f t="shared" si="6"/>
        <v/>
      </c>
    </row>
    <row r="198" spans="1:3" x14ac:dyDescent="0.25">
      <c r="A198" s="1" t="str">
        <f t="shared" si="7"/>
        <v/>
      </c>
      <c r="C198" s="1" t="str">
        <f t="shared" si="6"/>
        <v/>
      </c>
    </row>
    <row r="199" spans="1:3" x14ac:dyDescent="0.25">
      <c r="A199" s="1" t="str">
        <f t="shared" si="7"/>
        <v/>
      </c>
      <c r="C199" s="1" t="str">
        <f t="shared" si="6"/>
        <v/>
      </c>
    </row>
    <row r="200" spans="1:3" x14ac:dyDescent="0.25">
      <c r="A200" s="1" t="str">
        <f t="shared" si="7"/>
        <v/>
      </c>
      <c r="C200" s="1" t="str">
        <f t="shared" si="6"/>
        <v/>
      </c>
    </row>
    <row r="201" spans="1:3" x14ac:dyDescent="0.25">
      <c r="A201" s="1" t="str">
        <f t="shared" si="7"/>
        <v/>
      </c>
      <c r="C201" s="1" t="str">
        <f t="shared" si="6"/>
        <v/>
      </c>
    </row>
    <row r="202" spans="1:3" x14ac:dyDescent="0.25">
      <c r="A202" s="1" t="str">
        <f t="shared" si="7"/>
        <v/>
      </c>
      <c r="C202" s="1" t="str">
        <f t="shared" si="6"/>
        <v/>
      </c>
    </row>
    <row r="203" spans="1:3" x14ac:dyDescent="0.25">
      <c r="A203" s="1" t="str">
        <f t="shared" si="7"/>
        <v/>
      </c>
      <c r="C203" s="1" t="str">
        <f t="shared" si="6"/>
        <v/>
      </c>
    </row>
    <row r="204" spans="1:3" x14ac:dyDescent="0.25">
      <c r="A204" s="1" t="str">
        <f t="shared" si="7"/>
        <v/>
      </c>
      <c r="C204" s="1" t="str">
        <f t="shared" si="6"/>
        <v/>
      </c>
    </row>
    <row r="205" spans="1:3" x14ac:dyDescent="0.25">
      <c r="A205" s="1" t="str">
        <f t="shared" si="7"/>
        <v/>
      </c>
      <c r="C205" s="1" t="str">
        <f t="shared" si="6"/>
        <v/>
      </c>
    </row>
    <row r="206" spans="1:3" x14ac:dyDescent="0.25">
      <c r="A206" s="1" t="str">
        <f t="shared" si="7"/>
        <v/>
      </c>
      <c r="C206" s="1" t="str">
        <f t="shared" si="6"/>
        <v/>
      </c>
    </row>
    <row r="207" spans="1:3" x14ac:dyDescent="0.25">
      <c r="A207" s="1" t="str">
        <f t="shared" si="7"/>
        <v/>
      </c>
      <c r="C207" s="1" t="str">
        <f t="shared" si="6"/>
        <v/>
      </c>
    </row>
    <row r="208" spans="1:3" x14ac:dyDescent="0.25">
      <c r="A208" s="1" t="str">
        <f t="shared" si="7"/>
        <v/>
      </c>
      <c r="C208" s="1" t="str">
        <f t="shared" si="6"/>
        <v/>
      </c>
    </row>
    <row r="209" spans="1:3" x14ac:dyDescent="0.25">
      <c r="A209" s="1" t="str">
        <f t="shared" si="7"/>
        <v/>
      </c>
      <c r="C209" s="1" t="str">
        <f t="shared" si="6"/>
        <v/>
      </c>
    </row>
    <row r="210" spans="1:3" x14ac:dyDescent="0.25">
      <c r="A210" s="1" t="str">
        <f t="shared" si="7"/>
        <v/>
      </c>
      <c r="C210" s="1" t="str">
        <f t="shared" si="6"/>
        <v/>
      </c>
    </row>
    <row r="211" spans="1:3" x14ac:dyDescent="0.25">
      <c r="A211" s="1" t="str">
        <f t="shared" si="7"/>
        <v/>
      </c>
      <c r="C211" s="1" t="str">
        <f t="shared" si="6"/>
        <v/>
      </c>
    </row>
    <row r="212" spans="1:3" x14ac:dyDescent="0.25">
      <c r="A212" s="1" t="str">
        <f t="shared" si="7"/>
        <v/>
      </c>
      <c r="C212" s="1" t="str">
        <f t="shared" si="6"/>
        <v/>
      </c>
    </row>
    <row r="213" spans="1:3" x14ac:dyDescent="0.25">
      <c r="A213" s="1" t="str">
        <f t="shared" si="7"/>
        <v/>
      </c>
      <c r="C213" s="1" t="str">
        <f t="shared" si="6"/>
        <v/>
      </c>
    </row>
    <row r="214" spans="1:3" x14ac:dyDescent="0.25">
      <c r="A214" s="1" t="str">
        <f t="shared" si="7"/>
        <v/>
      </c>
      <c r="C214" s="1" t="str">
        <f t="shared" si="6"/>
        <v/>
      </c>
    </row>
    <row r="215" spans="1:3" x14ac:dyDescent="0.25">
      <c r="A215" s="1" t="str">
        <f t="shared" si="7"/>
        <v/>
      </c>
      <c r="C215" s="1" t="str">
        <f t="shared" si="6"/>
        <v/>
      </c>
    </row>
    <row r="216" spans="1:3" x14ac:dyDescent="0.25">
      <c r="A216" s="1" t="str">
        <f t="shared" si="7"/>
        <v/>
      </c>
      <c r="C216" s="1" t="str">
        <f t="shared" si="6"/>
        <v/>
      </c>
    </row>
    <row r="217" spans="1:3" x14ac:dyDescent="0.25">
      <c r="A217" s="1" t="str">
        <f t="shared" si="7"/>
        <v/>
      </c>
      <c r="C217" s="1" t="str">
        <f t="shared" si="6"/>
        <v/>
      </c>
    </row>
    <row r="218" spans="1:3" x14ac:dyDescent="0.25">
      <c r="A218" s="1" t="str">
        <f t="shared" si="7"/>
        <v/>
      </c>
      <c r="C218" s="1" t="str">
        <f t="shared" si="6"/>
        <v/>
      </c>
    </row>
    <row r="219" spans="1:3" x14ac:dyDescent="0.25">
      <c r="A219" s="1" t="str">
        <f t="shared" si="7"/>
        <v/>
      </c>
      <c r="C219" s="1" t="str">
        <f t="shared" si="6"/>
        <v/>
      </c>
    </row>
    <row r="220" spans="1:3" x14ac:dyDescent="0.25">
      <c r="A220" s="1" t="str">
        <f t="shared" si="7"/>
        <v/>
      </c>
      <c r="C220" s="1" t="str">
        <f t="shared" si="6"/>
        <v/>
      </c>
    </row>
    <row r="221" spans="1:3" x14ac:dyDescent="0.25">
      <c r="A221" s="1" t="str">
        <f t="shared" si="7"/>
        <v/>
      </c>
      <c r="C221" s="1" t="str">
        <f t="shared" si="6"/>
        <v/>
      </c>
    </row>
    <row r="222" spans="1:3" x14ac:dyDescent="0.25">
      <c r="A222" s="1" t="str">
        <f t="shared" si="7"/>
        <v/>
      </c>
      <c r="C222" s="1" t="str">
        <f t="shared" si="6"/>
        <v/>
      </c>
    </row>
    <row r="223" spans="1:3" x14ac:dyDescent="0.25">
      <c r="A223" s="1" t="str">
        <f t="shared" si="7"/>
        <v/>
      </c>
      <c r="C223" s="1" t="str">
        <f t="shared" si="6"/>
        <v/>
      </c>
    </row>
    <row r="224" spans="1:3" x14ac:dyDescent="0.25">
      <c r="A224" s="1" t="str">
        <f t="shared" si="7"/>
        <v/>
      </c>
      <c r="C224" s="1" t="str">
        <f t="shared" si="6"/>
        <v/>
      </c>
    </row>
    <row r="225" spans="1:3" x14ac:dyDescent="0.25">
      <c r="A225" s="1" t="str">
        <f t="shared" si="7"/>
        <v/>
      </c>
      <c r="C225" s="1" t="str">
        <f t="shared" si="6"/>
        <v/>
      </c>
    </row>
    <row r="226" spans="1:3" x14ac:dyDescent="0.25">
      <c r="A226" s="1" t="str">
        <f t="shared" si="7"/>
        <v/>
      </c>
      <c r="C226" s="1" t="str">
        <f t="shared" si="6"/>
        <v/>
      </c>
    </row>
    <row r="227" spans="1:3" x14ac:dyDescent="0.25">
      <c r="A227" s="1" t="str">
        <f t="shared" si="7"/>
        <v/>
      </c>
      <c r="C227" s="1" t="str">
        <f t="shared" si="6"/>
        <v/>
      </c>
    </row>
    <row r="228" spans="1:3" x14ac:dyDescent="0.25">
      <c r="A228" s="1" t="str">
        <f t="shared" si="7"/>
        <v/>
      </c>
      <c r="C228" s="1" t="str">
        <f t="shared" si="6"/>
        <v/>
      </c>
    </row>
    <row r="229" spans="1:3" x14ac:dyDescent="0.25">
      <c r="A229" s="1" t="str">
        <f t="shared" si="7"/>
        <v/>
      </c>
      <c r="C229" s="1" t="str">
        <f t="shared" si="6"/>
        <v/>
      </c>
    </row>
    <row r="230" spans="1:3" x14ac:dyDescent="0.25">
      <c r="A230" s="1" t="str">
        <f t="shared" si="7"/>
        <v/>
      </c>
      <c r="C230" s="1" t="str">
        <f t="shared" si="6"/>
        <v/>
      </c>
    </row>
    <row r="231" spans="1:3" x14ac:dyDescent="0.25">
      <c r="A231" s="1" t="str">
        <f t="shared" si="7"/>
        <v/>
      </c>
      <c r="C231" s="1" t="str">
        <f t="shared" si="6"/>
        <v/>
      </c>
    </row>
    <row r="232" spans="1:3" x14ac:dyDescent="0.25">
      <c r="A232" s="1" t="str">
        <f t="shared" si="7"/>
        <v/>
      </c>
      <c r="C232" s="1" t="str">
        <f t="shared" si="6"/>
        <v/>
      </c>
    </row>
    <row r="233" spans="1:3" x14ac:dyDescent="0.25">
      <c r="A233" s="1" t="str">
        <f t="shared" si="7"/>
        <v/>
      </c>
      <c r="C233" s="1" t="str">
        <f t="shared" si="6"/>
        <v/>
      </c>
    </row>
    <row r="234" spans="1:3" x14ac:dyDescent="0.25">
      <c r="A234" s="1" t="str">
        <f t="shared" si="7"/>
        <v/>
      </c>
      <c r="C234" s="1" t="str">
        <f t="shared" si="6"/>
        <v/>
      </c>
    </row>
    <row r="235" spans="1:3" x14ac:dyDescent="0.25">
      <c r="A235" s="1" t="str">
        <f t="shared" si="7"/>
        <v/>
      </c>
      <c r="C235" s="1" t="str">
        <f t="shared" si="6"/>
        <v/>
      </c>
    </row>
    <row r="236" spans="1:3" x14ac:dyDescent="0.25">
      <c r="A236" s="1" t="str">
        <f t="shared" si="7"/>
        <v/>
      </c>
      <c r="C236" s="1" t="str">
        <f t="shared" si="6"/>
        <v/>
      </c>
    </row>
    <row r="237" spans="1:3" x14ac:dyDescent="0.25">
      <c r="A237" s="1" t="str">
        <f t="shared" si="7"/>
        <v/>
      </c>
      <c r="C237" s="1" t="str">
        <f t="shared" si="6"/>
        <v/>
      </c>
    </row>
    <row r="238" spans="1:3" x14ac:dyDescent="0.25">
      <c r="A238" s="1" t="str">
        <f t="shared" si="7"/>
        <v/>
      </c>
      <c r="C238" s="1" t="str">
        <f t="shared" si="6"/>
        <v/>
      </c>
    </row>
    <row r="239" spans="1:3" x14ac:dyDescent="0.25">
      <c r="A239" s="1" t="str">
        <f t="shared" si="7"/>
        <v/>
      </c>
      <c r="C239" s="1" t="str">
        <f t="shared" si="6"/>
        <v/>
      </c>
    </row>
    <row r="240" spans="1:3" x14ac:dyDescent="0.25">
      <c r="A240" s="1" t="str">
        <f t="shared" si="7"/>
        <v/>
      </c>
      <c r="C240" s="1" t="str">
        <f t="shared" si="6"/>
        <v/>
      </c>
    </row>
    <row r="241" spans="1:3" x14ac:dyDescent="0.25">
      <c r="A241" s="1" t="str">
        <f t="shared" si="7"/>
        <v/>
      </c>
      <c r="C241" s="1" t="str">
        <f t="shared" si="6"/>
        <v/>
      </c>
    </row>
    <row r="242" spans="1:3" x14ac:dyDescent="0.25">
      <c r="A242" s="1" t="str">
        <f t="shared" si="7"/>
        <v/>
      </c>
      <c r="C242" s="1" t="str">
        <f t="shared" si="6"/>
        <v/>
      </c>
    </row>
    <row r="243" spans="1:3" x14ac:dyDescent="0.25">
      <c r="A243" s="1" t="str">
        <f t="shared" si="7"/>
        <v/>
      </c>
      <c r="C243" s="1" t="str">
        <f t="shared" si="6"/>
        <v/>
      </c>
    </row>
    <row r="244" spans="1:3" x14ac:dyDescent="0.25">
      <c r="A244" s="1" t="str">
        <f t="shared" si="7"/>
        <v/>
      </c>
      <c r="C244" s="1" t="str">
        <f t="shared" si="6"/>
        <v/>
      </c>
    </row>
    <row r="245" spans="1:3" x14ac:dyDescent="0.25">
      <c r="A245" s="1" t="str">
        <f t="shared" si="7"/>
        <v/>
      </c>
      <c r="C245" s="1" t="str">
        <f t="shared" si="6"/>
        <v/>
      </c>
    </row>
    <row r="246" spans="1:3" x14ac:dyDescent="0.25">
      <c r="A246" s="1" t="str">
        <f t="shared" si="7"/>
        <v/>
      </c>
      <c r="C246" s="1" t="str">
        <f t="shared" si="6"/>
        <v/>
      </c>
    </row>
    <row r="247" spans="1:3" x14ac:dyDescent="0.25">
      <c r="A247" s="1" t="str">
        <f t="shared" si="7"/>
        <v/>
      </c>
      <c r="C247" s="1" t="str">
        <f t="shared" si="6"/>
        <v/>
      </c>
    </row>
    <row r="248" spans="1:3" x14ac:dyDescent="0.25">
      <c r="A248" s="1" t="str">
        <f t="shared" si="7"/>
        <v/>
      </c>
      <c r="C248" s="1" t="str">
        <f t="shared" si="6"/>
        <v/>
      </c>
    </row>
    <row r="249" spans="1:3" x14ac:dyDescent="0.25">
      <c r="A249" s="1" t="str">
        <f t="shared" si="7"/>
        <v/>
      </c>
      <c r="C249" s="1" t="str">
        <f t="shared" si="6"/>
        <v/>
      </c>
    </row>
    <row r="250" spans="1:3" x14ac:dyDescent="0.25">
      <c r="A250" s="1" t="str">
        <f t="shared" si="7"/>
        <v/>
      </c>
      <c r="C250" s="1" t="str">
        <f t="shared" si="6"/>
        <v/>
      </c>
    </row>
    <row r="251" spans="1:3" x14ac:dyDescent="0.25">
      <c r="A251" s="1" t="str">
        <f t="shared" si="7"/>
        <v/>
      </c>
      <c r="C251" s="1" t="str">
        <f t="shared" si="6"/>
        <v/>
      </c>
    </row>
    <row r="252" spans="1:3" x14ac:dyDescent="0.25">
      <c r="A252" s="1" t="str">
        <f t="shared" si="7"/>
        <v/>
      </c>
      <c r="C252" s="1" t="str">
        <f t="shared" si="6"/>
        <v/>
      </c>
    </row>
    <row r="253" spans="1:3" x14ac:dyDescent="0.25">
      <c r="A253" s="1" t="str">
        <f t="shared" si="7"/>
        <v/>
      </c>
      <c r="C253" s="1" t="str">
        <f t="shared" si="6"/>
        <v/>
      </c>
    </row>
    <row r="254" spans="1:3" x14ac:dyDescent="0.25">
      <c r="A254" s="1" t="str">
        <f t="shared" si="7"/>
        <v/>
      </c>
      <c r="C254" s="1" t="str">
        <f t="shared" si="6"/>
        <v/>
      </c>
    </row>
    <row r="255" spans="1:3" x14ac:dyDescent="0.25">
      <c r="A255" s="1" t="str">
        <f t="shared" si="7"/>
        <v/>
      </c>
      <c r="C255" s="1" t="str">
        <f t="shared" si="6"/>
        <v/>
      </c>
    </row>
    <row r="256" spans="1:3" x14ac:dyDescent="0.25">
      <c r="A256" s="1" t="str">
        <f t="shared" si="7"/>
        <v/>
      </c>
      <c r="C256" s="1" t="str">
        <f t="shared" si="6"/>
        <v/>
      </c>
    </row>
    <row r="257" spans="1:3" x14ac:dyDescent="0.25">
      <c r="A257" s="1" t="str">
        <f t="shared" si="7"/>
        <v/>
      </c>
      <c r="C257" s="1" t="str">
        <f t="shared" si="6"/>
        <v/>
      </c>
    </row>
    <row r="258" spans="1:3" x14ac:dyDescent="0.25">
      <c r="A258" s="1" t="str">
        <f t="shared" si="7"/>
        <v/>
      </c>
      <c r="C258" s="1" t="str">
        <f t="shared" ref="C258:C281" si="8">IF(LEN(IFERROR(VLOOKUP(B258,Reqs_and_Explanation,3,FALSE),""))&lt;3,"",IFERROR(VLOOKUP(B258,Reqs_and_Explanation,3,FALSE),""))</f>
        <v/>
      </c>
    </row>
    <row r="259" spans="1:3" x14ac:dyDescent="0.25">
      <c r="A259" s="1" t="str">
        <f t="shared" ref="A259:A322" si="9">IF(ISBLANK(B259),"","E"&amp;TEXT(ROW()-1,"000"))</f>
        <v/>
      </c>
      <c r="C259" s="1" t="str">
        <f t="shared" si="8"/>
        <v/>
      </c>
    </row>
    <row r="260" spans="1:3" x14ac:dyDescent="0.25">
      <c r="A260" s="1" t="str">
        <f t="shared" si="9"/>
        <v/>
      </c>
      <c r="C260" s="1" t="str">
        <f t="shared" si="8"/>
        <v/>
      </c>
    </row>
    <row r="261" spans="1:3" x14ac:dyDescent="0.25">
      <c r="A261" s="1" t="str">
        <f t="shared" si="9"/>
        <v/>
      </c>
      <c r="C261" s="1" t="str">
        <f t="shared" si="8"/>
        <v/>
      </c>
    </row>
    <row r="262" spans="1:3" x14ac:dyDescent="0.25">
      <c r="A262" s="1" t="str">
        <f t="shared" si="9"/>
        <v/>
      </c>
      <c r="C262" s="1" t="str">
        <f t="shared" si="8"/>
        <v/>
      </c>
    </row>
    <row r="263" spans="1:3" x14ac:dyDescent="0.25">
      <c r="A263" s="1" t="str">
        <f t="shared" si="9"/>
        <v/>
      </c>
      <c r="C263" s="1" t="str">
        <f t="shared" si="8"/>
        <v/>
      </c>
    </row>
    <row r="264" spans="1:3" x14ac:dyDescent="0.25">
      <c r="A264" s="1" t="str">
        <f t="shared" si="9"/>
        <v/>
      </c>
      <c r="C264" s="1" t="str">
        <f t="shared" si="8"/>
        <v/>
      </c>
    </row>
    <row r="265" spans="1:3" x14ac:dyDescent="0.25">
      <c r="A265" s="1" t="str">
        <f t="shared" si="9"/>
        <v/>
      </c>
      <c r="C265" s="1" t="str">
        <f t="shared" si="8"/>
        <v/>
      </c>
    </row>
    <row r="266" spans="1:3" x14ac:dyDescent="0.25">
      <c r="A266" s="1" t="str">
        <f t="shared" si="9"/>
        <v/>
      </c>
      <c r="C266" s="1" t="str">
        <f t="shared" si="8"/>
        <v/>
      </c>
    </row>
    <row r="267" spans="1:3" x14ac:dyDescent="0.25">
      <c r="A267" s="1" t="str">
        <f t="shared" si="9"/>
        <v/>
      </c>
      <c r="C267" s="1" t="str">
        <f t="shared" si="8"/>
        <v/>
      </c>
    </row>
    <row r="268" spans="1:3" x14ac:dyDescent="0.25">
      <c r="A268" s="1" t="str">
        <f t="shared" si="9"/>
        <v/>
      </c>
      <c r="C268" s="1" t="str">
        <f t="shared" si="8"/>
        <v/>
      </c>
    </row>
    <row r="269" spans="1:3" x14ac:dyDescent="0.25">
      <c r="A269" s="1" t="str">
        <f t="shared" si="9"/>
        <v/>
      </c>
      <c r="C269" s="1" t="str">
        <f t="shared" si="8"/>
        <v/>
      </c>
    </row>
    <row r="270" spans="1:3" x14ac:dyDescent="0.25">
      <c r="A270" s="1" t="str">
        <f t="shared" si="9"/>
        <v/>
      </c>
      <c r="C270" s="1" t="str">
        <f t="shared" si="8"/>
        <v/>
      </c>
    </row>
    <row r="271" spans="1:3" x14ac:dyDescent="0.25">
      <c r="A271" s="1" t="str">
        <f t="shared" si="9"/>
        <v/>
      </c>
      <c r="C271" s="1" t="str">
        <f t="shared" si="8"/>
        <v/>
      </c>
    </row>
    <row r="272" spans="1:3" x14ac:dyDescent="0.25">
      <c r="A272" s="1" t="str">
        <f t="shared" si="9"/>
        <v/>
      </c>
      <c r="C272" s="1" t="str">
        <f t="shared" si="8"/>
        <v/>
      </c>
    </row>
    <row r="273" spans="1:3" x14ac:dyDescent="0.25">
      <c r="A273" s="1" t="str">
        <f t="shared" si="9"/>
        <v/>
      </c>
      <c r="C273" s="1" t="str">
        <f t="shared" si="8"/>
        <v/>
      </c>
    </row>
    <row r="274" spans="1:3" x14ac:dyDescent="0.25">
      <c r="A274" s="1" t="str">
        <f t="shared" si="9"/>
        <v/>
      </c>
      <c r="C274" s="1" t="str">
        <f t="shared" si="8"/>
        <v/>
      </c>
    </row>
    <row r="275" spans="1:3" x14ac:dyDescent="0.25">
      <c r="A275" s="1" t="str">
        <f t="shared" si="9"/>
        <v/>
      </c>
      <c r="C275" s="1" t="str">
        <f t="shared" si="8"/>
        <v/>
      </c>
    </row>
    <row r="276" spans="1:3" x14ac:dyDescent="0.25">
      <c r="A276" s="1" t="str">
        <f t="shared" si="9"/>
        <v/>
      </c>
      <c r="C276" s="1" t="str">
        <f t="shared" si="8"/>
        <v/>
      </c>
    </row>
    <row r="277" spans="1:3" x14ac:dyDescent="0.25">
      <c r="A277" s="1" t="str">
        <f t="shared" si="9"/>
        <v/>
      </c>
      <c r="C277" s="1" t="str">
        <f t="shared" si="8"/>
        <v/>
      </c>
    </row>
    <row r="278" spans="1:3" x14ac:dyDescent="0.25">
      <c r="A278" s="1" t="str">
        <f t="shared" si="9"/>
        <v/>
      </c>
      <c r="C278" s="1" t="str">
        <f t="shared" si="8"/>
        <v/>
      </c>
    </row>
    <row r="279" spans="1:3" x14ac:dyDescent="0.25">
      <c r="A279" s="1" t="str">
        <f t="shared" si="9"/>
        <v/>
      </c>
      <c r="C279" s="1" t="str">
        <f t="shared" si="8"/>
        <v/>
      </c>
    </row>
    <row r="280" spans="1:3" x14ac:dyDescent="0.25">
      <c r="A280" s="1" t="str">
        <f t="shared" si="9"/>
        <v/>
      </c>
      <c r="C280" s="1" t="str">
        <f t="shared" si="8"/>
        <v/>
      </c>
    </row>
    <row r="281" spans="1:3" x14ac:dyDescent="0.25">
      <c r="A281" s="1" t="str">
        <f t="shared" si="9"/>
        <v/>
      </c>
      <c r="C281" s="1" t="str">
        <f t="shared" si="8"/>
        <v/>
      </c>
    </row>
    <row r="282" spans="1:3" x14ac:dyDescent="0.25">
      <c r="A282" s="1" t="str">
        <f t="shared" si="9"/>
        <v/>
      </c>
    </row>
    <row r="283" spans="1:3" x14ac:dyDescent="0.25">
      <c r="A283" s="1" t="str">
        <f t="shared" si="9"/>
        <v/>
      </c>
    </row>
    <row r="284" spans="1:3" x14ac:dyDescent="0.25">
      <c r="A284" s="1" t="str">
        <f t="shared" si="9"/>
        <v/>
      </c>
    </row>
    <row r="285" spans="1:3" x14ac:dyDescent="0.25">
      <c r="A285" s="1" t="str">
        <f t="shared" si="9"/>
        <v/>
      </c>
    </row>
    <row r="286" spans="1:3" x14ac:dyDescent="0.25">
      <c r="A286" s="1" t="str">
        <f t="shared" si="9"/>
        <v/>
      </c>
    </row>
    <row r="287" spans="1:3" x14ac:dyDescent="0.25">
      <c r="A287" s="1" t="str">
        <f t="shared" si="9"/>
        <v/>
      </c>
    </row>
    <row r="288" spans="1:3" x14ac:dyDescent="0.25">
      <c r="A288" s="1" t="str">
        <f t="shared" si="9"/>
        <v/>
      </c>
    </row>
    <row r="289" spans="1:1" x14ac:dyDescent="0.25">
      <c r="A289" s="1" t="str">
        <f t="shared" si="9"/>
        <v/>
      </c>
    </row>
    <row r="290" spans="1:1" x14ac:dyDescent="0.25">
      <c r="A290" s="1" t="str">
        <f t="shared" si="9"/>
        <v/>
      </c>
    </row>
    <row r="291" spans="1:1" x14ac:dyDescent="0.25">
      <c r="A291" s="1" t="str">
        <f t="shared" si="9"/>
        <v/>
      </c>
    </row>
    <row r="292" spans="1:1" x14ac:dyDescent="0.25">
      <c r="A292" s="1" t="str">
        <f t="shared" si="9"/>
        <v/>
      </c>
    </row>
    <row r="293" spans="1:1" x14ac:dyDescent="0.25">
      <c r="A293" s="1" t="str">
        <f t="shared" si="9"/>
        <v/>
      </c>
    </row>
    <row r="294" spans="1:1" x14ac:dyDescent="0.25">
      <c r="A294" s="1" t="str">
        <f t="shared" si="9"/>
        <v/>
      </c>
    </row>
    <row r="295" spans="1:1" x14ac:dyDescent="0.25">
      <c r="A295" s="1" t="str">
        <f t="shared" si="9"/>
        <v/>
      </c>
    </row>
    <row r="296" spans="1:1" x14ac:dyDescent="0.25">
      <c r="A296" s="1" t="str">
        <f t="shared" si="9"/>
        <v/>
      </c>
    </row>
    <row r="297" spans="1:1" x14ac:dyDescent="0.25">
      <c r="A297" s="1" t="str">
        <f t="shared" si="9"/>
        <v/>
      </c>
    </row>
    <row r="298" spans="1:1" x14ac:dyDescent="0.25">
      <c r="A298" s="1" t="str">
        <f t="shared" si="9"/>
        <v/>
      </c>
    </row>
    <row r="299" spans="1:1" x14ac:dyDescent="0.25">
      <c r="A299" s="1" t="str">
        <f t="shared" si="9"/>
        <v/>
      </c>
    </row>
    <row r="300" spans="1:1" x14ac:dyDescent="0.25">
      <c r="A300" s="1" t="str">
        <f t="shared" si="9"/>
        <v/>
      </c>
    </row>
    <row r="301" spans="1:1" x14ac:dyDescent="0.25">
      <c r="A301" s="1" t="str">
        <f t="shared" si="9"/>
        <v/>
      </c>
    </row>
    <row r="302" spans="1:1" x14ac:dyDescent="0.25">
      <c r="A302" s="1" t="str">
        <f t="shared" si="9"/>
        <v/>
      </c>
    </row>
    <row r="303" spans="1:1" x14ac:dyDescent="0.25">
      <c r="A303" s="1" t="str">
        <f t="shared" si="9"/>
        <v/>
      </c>
    </row>
    <row r="304" spans="1:1" x14ac:dyDescent="0.25">
      <c r="A304" s="1" t="str">
        <f t="shared" si="9"/>
        <v/>
      </c>
    </row>
    <row r="305" spans="1:1" x14ac:dyDescent="0.25">
      <c r="A305" s="1" t="str">
        <f t="shared" si="9"/>
        <v/>
      </c>
    </row>
    <row r="306" spans="1:1" x14ac:dyDescent="0.25">
      <c r="A306" s="1" t="str">
        <f t="shared" si="9"/>
        <v/>
      </c>
    </row>
    <row r="307" spans="1:1" x14ac:dyDescent="0.25">
      <c r="A307" s="1" t="str">
        <f t="shared" si="9"/>
        <v/>
      </c>
    </row>
    <row r="308" spans="1:1" x14ac:dyDescent="0.25">
      <c r="A308" s="1" t="str">
        <f t="shared" si="9"/>
        <v/>
      </c>
    </row>
    <row r="309" spans="1:1" x14ac:dyDescent="0.25">
      <c r="A309" s="1" t="str">
        <f t="shared" si="9"/>
        <v/>
      </c>
    </row>
    <row r="310" spans="1:1" x14ac:dyDescent="0.25">
      <c r="A310" s="1" t="str">
        <f t="shared" si="9"/>
        <v/>
      </c>
    </row>
    <row r="311" spans="1:1" x14ac:dyDescent="0.25">
      <c r="A311" s="1" t="str">
        <f t="shared" si="9"/>
        <v/>
      </c>
    </row>
    <row r="312" spans="1:1" x14ac:dyDescent="0.25">
      <c r="A312" s="1" t="str">
        <f t="shared" si="9"/>
        <v/>
      </c>
    </row>
    <row r="313" spans="1:1" x14ac:dyDescent="0.25">
      <c r="A313" s="1" t="str">
        <f t="shared" si="9"/>
        <v/>
      </c>
    </row>
    <row r="314" spans="1:1" x14ac:dyDescent="0.25">
      <c r="A314" s="1" t="str">
        <f t="shared" si="9"/>
        <v/>
      </c>
    </row>
    <row r="315" spans="1:1" x14ac:dyDescent="0.25">
      <c r="A315" s="1" t="str">
        <f t="shared" si="9"/>
        <v/>
      </c>
    </row>
    <row r="316" spans="1:1" x14ac:dyDescent="0.25">
      <c r="A316" s="1" t="str">
        <f t="shared" si="9"/>
        <v/>
      </c>
    </row>
    <row r="317" spans="1:1" x14ac:dyDescent="0.25">
      <c r="A317" s="1" t="str">
        <f t="shared" si="9"/>
        <v/>
      </c>
    </row>
    <row r="318" spans="1:1" x14ac:dyDescent="0.25">
      <c r="A318" s="1" t="str">
        <f t="shared" si="9"/>
        <v/>
      </c>
    </row>
    <row r="319" spans="1:1" x14ac:dyDescent="0.25">
      <c r="A319" s="1" t="str">
        <f t="shared" si="9"/>
        <v/>
      </c>
    </row>
    <row r="320" spans="1:1" x14ac:dyDescent="0.25">
      <c r="A320" s="1" t="str">
        <f t="shared" si="9"/>
        <v/>
      </c>
    </row>
    <row r="321" spans="1:1" x14ac:dyDescent="0.25">
      <c r="A321" s="1" t="str">
        <f t="shared" si="9"/>
        <v/>
      </c>
    </row>
    <row r="322" spans="1:1" x14ac:dyDescent="0.25">
      <c r="A322" s="1" t="str">
        <f t="shared" si="9"/>
        <v/>
      </c>
    </row>
    <row r="323" spans="1:1" x14ac:dyDescent="0.25">
      <c r="A323" s="1" t="str">
        <f t="shared" ref="A323:A338" si="10">IF(ISBLANK(B323),"","E"&amp;TEXT(ROW()-1,"000"))</f>
        <v/>
      </c>
    </row>
    <row r="324" spans="1:1" x14ac:dyDescent="0.25">
      <c r="A324" s="1" t="str">
        <f t="shared" si="10"/>
        <v/>
      </c>
    </row>
    <row r="325" spans="1:1" x14ac:dyDescent="0.25">
      <c r="A325" s="1" t="str">
        <f t="shared" si="10"/>
        <v/>
      </c>
    </row>
    <row r="326" spans="1:1" x14ac:dyDescent="0.25">
      <c r="A326" s="1" t="str">
        <f t="shared" si="10"/>
        <v/>
      </c>
    </row>
    <row r="327" spans="1:1" x14ac:dyDescent="0.25">
      <c r="A327" s="1" t="str">
        <f t="shared" si="10"/>
        <v/>
      </c>
    </row>
    <row r="328" spans="1:1" x14ac:dyDescent="0.25">
      <c r="A328" s="1" t="str">
        <f t="shared" si="10"/>
        <v/>
      </c>
    </row>
    <row r="329" spans="1:1" x14ac:dyDescent="0.25">
      <c r="A329" s="1" t="str">
        <f t="shared" si="10"/>
        <v/>
      </c>
    </row>
    <row r="330" spans="1:1" x14ac:dyDescent="0.25">
      <c r="A330" s="1" t="str">
        <f t="shared" si="10"/>
        <v/>
      </c>
    </row>
    <row r="331" spans="1:1" x14ac:dyDescent="0.25">
      <c r="A331" s="1" t="str">
        <f t="shared" si="10"/>
        <v/>
      </c>
    </row>
    <row r="332" spans="1:1" x14ac:dyDescent="0.25">
      <c r="A332" s="1" t="str">
        <f t="shared" si="10"/>
        <v/>
      </c>
    </row>
    <row r="333" spans="1:1" x14ac:dyDescent="0.25">
      <c r="A333" s="1" t="str">
        <f t="shared" si="10"/>
        <v/>
      </c>
    </row>
    <row r="334" spans="1:1" x14ac:dyDescent="0.25">
      <c r="A334" s="1" t="str">
        <f t="shared" si="10"/>
        <v/>
      </c>
    </row>
    <row r="335" spans="1:1" x14ac:dyDescent="0.25">
      <c r="A335" s="1" t="str">
        <f t="shared" si="10"/>
        <v/>
      </c>
    </row>
    <row r="336" spans="1:1" x14ac:dyDescent="0.25">
      <c r="A336" s="1" t="str">
        <f t="shared" si="10"/>
        <v/>
      </c>
    </row>
    <row r="337" spans="1:1" x14ac:dyDescent="0.25">
      <c r="A337" s="1" t="str">
        <f t="shared" si="10"/>
        <v/>
      </c>
    </row>
    <row r="338" spans="1:1" x14ac:dyDescent="0.25">
      <c r="A338" s="1" t="str">
        <f t="shared" si="10"/>
        <v/>
      </c>
    </row>
  </sheetData>
  <dataValidations count="4">
    <dataValidation type="list" allowBlank="1" showInputMessage="1" showErrorMessage="1" sqref="B2:B200" xr:uid="{00000000-0002-0000-0300-000000000000}">
      <formula1>Req_IDs</formula1>
    </dataValidation>
    <dataValidation type="list" allowBlank="1" showInputMessage="1" showErrorMessage="1" sqref="D2:D200" xr:uid="{00000000-0002-0000-0300-000001000000}">
      <formula1>Domains</formula1>
    </dataValidation>
    <dataValidation type="list" allowBlank="1" showInputMessage="1" showErrorMessage="1" sqref="E2:E200" xr:uid="{00000000-0002-0000-0300-000002000000}">
      <formula1>CompTypes</formula1>
    </dataValidation>
    <dataValidation type="list" allowBlank="1" showInputMessage="1" showErrorMessage="1" sqref="F2:F200" xr:uid="{00000000-0002-0000-0300-000003000000}">
      <formula1>Dimensions</formula1>
    </dataValidation>
  </dataValidations>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8"/>
  <dimension ref="A1:H14"/>
  <sheetViews>
    <sheetView workbookViewId="0">
      <selection activeCell="A2" sqref="A2"/>
    </sheetView>
  </sheetViews>
  <sheetFormatPr baseColWidth="10" defaultColWidth="11.5703125" defaultRowHeight="15" x14ac:dyDescent="0.25"/>
  <cols>
    <col min="1" max="1" width="30.7109375" style="1" customWidth="1"/>
    <col min="2" max="2" width="12.85546875" style="10" customWidth="1"/>
    <col min="3" max="3" width="10.28515625" style="10" customWidth="1"/>
    <col min="4" max="7" width="18.140625" style="10" customWidth="1"/>
    <col min="8" max="16384" width="11.5703125" style="1"/>
  </cols>
  <sheetData>
    <row r="1" spans="1:8" x14ac:dyDescent="0.25">
      <c r="A1" s="42"/>
      <c r="B1" s="43"/>
      <c r="C1" s="43"/>
      <c r="D1" s="44" t="s">
        <v>199</v>
      </c>
      <c r="E1" s="44" t="s">
        <v>200</v>
      </c>
      <c r="F1" s="44" t="s">
        <v>201</v>
      </c>
      <c r="G1" s="44" t="s">
        <v>202</v>
      </c>
    </row>
    <row r="2" spans="1:8" x14ac:dyDescent="0.25">
      <c r="A2" s="45" t="s">
        <v>9</v>
      </c>
      <c r="B2" s="46" t="s">
        <v>197</v>
      </c>
      <c r="C2" s="46" t="s">
        <v>215</v>
      </c>
      <c r="D2" s="46" t="str">
        <f t="array" ref="D2:G2">TRANSPOSE(_Domains!A2:A5)</f>
        <v>Registration</v>
      </c>
      <c r="E2" s="46" t="str">
        <v>Zone Alert System</v>
      </c>
      <c r="F2" s="46" t="str">
        <v>Broadcast System</v>
      </c>
      <c r="G2" s="46" t="str">
        <v>Alert Button</v>
      </c>
      <c r="H2" s="29"/>
    </row>
    <row r="3" spans="1:8" x14ac:dyDescent="0.25">
      <c r="A3" s="1" t="str">
        <f>Stakeholders!A3</f>
        <v>Person Suffering From Dementia</v>
      </c>
      <c r="B3" s="10">
        <f>COUNTIF('Goals &amp; Risks'!$E$2:$E$200,A3)</f>
        <v>11</v>
      </c>
      <c r="C3" s="10">
        <f>SUM(D3:G3)</f>
        <v>4</v>
      </c>
      <c r="D3" s="41">
        <v>1</v>
      </c>
      <c r="E3" s="41">
        <v>1</v>
      </c>
      <c r="F3" s="41">
        <v>1</v>
      </c>
      <c r="G3" s="41">
        <v>1</v>
      </c>
    </row>
    <row r="4" spans="1:8" x14ac:dyDescent="0.25">
      <c r="A4" s="1" t="str">
        <f>Stakeholders!A4</f>
        <v>Contact Person</v>
      </c>
      <c r="B4" s="10">
        <f>COUNTIF('Goals &amp; Risks'!$E$2:$E$200,A4)</f>
        <v>10</v>
      </c>
      <c r="C4" s="10">
        <f t="shared" ref="C4:C13" si="0">SUM(D4:G4)</f>
        <v>2</v>
      </c>
      <c r="D4" s="41"/>
      <c r="E4" s="41">
        <v>1</v>
      </c>
      <c r="F4" s="41">
        <v>1</v>
      </c>
      <c r="G4" s="41"/>
    </row>
    <row r="5" spans="1:8" x14ac:dyDescent="0.25">
      <c r="A5" s="1" t="str">
        <f>Stakeholders!A5</f>
        <v>Alert Button User</v>
      </c>
      <c r="B5" s="10">
        <f>COUNTIF('Goals &amp; Risks'!$E$2:$E$200,A5)</f>
        <v>8</v>
      </c>
      <c r="C5" s="10">
        <f t="shared" si="0"/>
        <v>1</v>
      </c>
      <c r="D5" s="41"/>
      <c r="E5" s="41"/>
      <c r="F5" s="41"/>
      <c r="G5" s="41">
        <v>1</v>
      </c>
    </row>
    <row r="6" spans="1:8" x14ac:dyDescent="0.25">
      <c r="A6" s="1" t="str">
        <f>Stakeholders!A6</f>
        <v>Location with Alert Button</v>
      </c>
      <c r="B6" s="10">
        <f>COUNTIF('Goals &amp; Risks'!$E$2:$E$200,A6)</f>
        <v>9</v>
      </c>
      <c r="C6" s="10">
        <f t="shared" si="0"/>
        <v>1</v>
      </c>
      <c r="D6" s="41"/>
      <c r="E6" s="41"/>
      <c r="F6" s="41"/>
      <c r="G6" s="41">
        <v>1</v>
      </c>
    </row>
    <row r="7" spans="1:8" x14ac:dyDescent="0.25">
      <c r="A7" s="1" t="str">
        <f>Stakeholders!A7</f>
        <v>Caregiver</v>
      </c>
      <c r="B7" s="10">
        <f>COUNTIF('Goals &amp; Risks'!$E$2:$E$200,A7)</f>
        <v>2</v>
      </c>
      <c r="C7" s="10">
        <f t="shared" si="0"/>
        <v>1</v>
      </c>
      <c r="D7" s="41">
        <v>1</v>
      </c>
      <c r="E7" s="41"/>
      <c r="F7" s="41"/>
      <c r="G7" s="41"/>
    </row>
    <row r="8" spans="1:8" x14ac:dyDescent="0.25">
      <c r="A8" s="1" t="str">
        <f>Stakeholders!A8</f>
        <v>Nursing  Home Management</v>
      </c>
      <c r="B8" s="10">
        <f>COUNTIF('Goals &amp; Risks'!$E$2:$E$200,A8)</f>
        <v>6</v>
      </c>
      <c r="C8" s="10">
        <f t="shared" si="0"/>
        <v>1</v>
      </c>
      <c r="D8" s="41">
        <v>1</v>
      </c>
      <c r="E8" s="41"/>
      <c r="F8" s="41"/>
      <c r="G8" s="41"/>
    </row>
    <row r="9" spans="1:8" x14ac:dyDescent="0.25">
      <c r="A9" s="1" t="str">
        <f>Stakeholders!A9</f>
        <v>Nursing Home</v>
      </c>
      <c r="B9" s="10">
        <f>COUNTIF('Goals &amp; Risks'!$E$2:$E$200,A9)</f>
        <v>2</v>
      </c>
      <c r="C9" s="10">
        <f t="shared" si="0"/>
        <v>1</v>
      </c>
      <c r="D9" s="41">
        <v>1</v>
      </c>
      <c r="E9" s="41"/>
      <c r="F9" s="41"/>
      <c r="G9" s="41"/>
    </row>
    <row r="10" spans="1:8" x14ac:dyDescent="0.25">
      <c r="A10" s="1" t="str">
        <f>Stakeholders!A10</f>
        <v>Health Insurance</v>
      </c>
      <c r="B10" s="10">
        <f>COUNTIF('Goals &amp; Risks'!$E$2:$E$200,A10)</f>
        <v>6</v>
      </c>
      <c r="C10" s="10">
        <f t="shared" si="0"/>
        <v>1</v>
      </c>
      <c r="D10" s="41">
        <v>1</v>
      </c>
      <c r="E10" s="41"/>
      <c r="F10" s="41"/>
      <c r="G10" s="41"/>
    </row>
    <row r="11" spans="1:8" x14ac:dyDescent="0.25">
      <c r="A11" s="1" t="str">
        <f>Stakeholders!A11</f>
        <v>ILA Startup</v>
      </c>
      <c r="B11" s="10">
        <f>COUNTIF('Goals &amp; Risks'!$E$2:$E$200,A11)</f>
        <v>5</v>
      </c>
      <c r="C11" s="10">
        <f t="shared" si="0"/>
        <v>1</v>
      </c>
      <c r="E11" s="10">
        <v>1</v>
      </c>
    </row>
    <row r="12" spans="1:8" x14ac:dyDescent="0.25">
      <c r="A12" s="1" t="str">
        <f>Stakeholders!A12</f>
        <v>Emergency Call System Operator</v>
      </c>
      <c r="B12" s="10">
        <f>COUNTIF('Goals &amp; Risks'!$E$2:$E$200,A12)</f>
        <v>6</v>
      </c>
      <c r="C12" s="10">
        <f t="shared" si="0"/>
        <v>1</v>
      </c>
      <c r="F12" s="10">
        <v>1</v>
      </c>
    </row>
    <row r="13" spans="1:8" ht="15.75" thickBot="1" x14ac:dyDescent="0.3">
      <c r="A13" s="47" t="str">
        <f>Stakeholders!A13</f>
        <v>Society</v>
      </c>
      <c r="B13" s="48">
        <f>COUNTIF('Goals &amp; Risks'!$E$2:$E$200,A13)</f>
        <v>3</v>
      </c>
      <c r="C13" s="48">
        <f t="shared" si="0"/>
        <v>4</v>
      </c>
      <c r="D13" s="48">
        <v>1</v>
      </c>
      <c r="E13" s="48">
        <v>1</v>
      </c>
      <c r="F13" s="48">
        <v>1</v>
      </c>
      <c r="G13" s="48">
        <v>1</v>
      </c>
    </row>
    <row r="14" spans="1:8" ht="15.75" thickTop="1" x14ac:dyDescent="0.25">
      <c r="A14" s="40" t="s">
        <v>198</v>
      </c>
      <c r="B14" s="30">
        <f>SUM(B3:B13)</f>
        <v>68</v>
      </c>
      <c r="C14" s="30"/>
      <c r="D14" s="30">
        <f>SUMPRODUCT(D3:D13,$B3:$B13)</f>
        <v>30</v>
      </c>
      <c r="E14" s="30">
        <f t="shared" ref="E14:G14" si="1">SUMPRODUCT(E3:E13,$B3:$B13)</f>
        <v>29</v>
      </c>
      <c r="F14" s="30">
        <f t="shared" si="1"/>
        <v>30</v>
      </c>
      <c r="G14" s="30">
        <f t="shared" si="1"/>
        <v>31</v>
      </c>
    </row>
  </sheetData>
  <autoFilter ref="A2:G13" xr:uid="{00000000-0009-0000-0000-000004000000}"/>
  <conditionalFormatting sqref="C3:C13">
    <cfRule type="cellIs" dxfId="0" priority="1" operator="greaterThan">
      <formula>0</formula>
    </cfRule>
  </conditionalFormatting>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6"/>
  <dimension ref="A1:E16"/>
  <sheetViews>
    <sheetView zoomScaleNormal="100" workbookViewId="0">
      <selection activeCell="D3" sqref="D3"/>
    </sheetView>
  </sheetViews>
  <sheetFormatPr baseColWidth="10" defaultRowHeight="15" x14ac:dyDescent="0.25"/>
  <cols>
    <col min="2" max="2" width="11.7109375" customWidth="1"/>
    <col min="4" max="4" width="100.28515625" customWidth="1"/>
  </cols>
  <sheetData>
    <row r="1" spans="1:5" ht="15.75" thickBot="1" x14ac:dyDescent="0.3">
      <c r="A1" s="49" t="s">
        <v>187</v>
      </c>
      <c r="B1" s="49" t="s">
        <v>47</v>
      </c>
      <c r="C1" s="49" t="s">
        <v>10</v>
      </c>
      <c r="D1" s="49" t="s">
        <v>127</v>
      </c>
      <c r="E1" s="4"/>
    </row>
    <row r="2" spans="1:5" ht="30" customHeight="1" thickTop="1" x14ac:dyDescent="0.25">
      <c r="A2" s="76" t="s">
        <v>223</v>
      </c>
      <c r="B2" s="54" t="s">
        <v>2</v>
      </c>
      <c r="C2" s="3" t="s">
        <v>50</v>
      </c>
      <c r="D2" s="11" t="s">
        <v>121</v>
      </c>
      <c r="E2" s="35">
        <f t="shared" ref="E2:E11" si="0">LEN(D2)</f>
        <v>124</v>
      </c>
    </row>
    <row r="3" spans="1:5" ht="30" customHeight="1" x14ac:dyDescent="0.25">
      <c r="A3" s="77"/>
      <c r="B3" s="54" t="s">
        <v>0</v>
      </c>
      <c r="C3" s="3" t="s">
        <v>48</v>
      </c>
      <c r="D3" s="1" t="s">
        <v>37</v>
      </c>
      <c r="E3" s="35">
        <f t="shared" si="0"/>
        <v>185</v>
      </c>
    </row>
    <row r="4" spans="1:5" ht="30" customHeight="1" x14ac:dyDescent="0.25">
      <c r="A4" s="77"/>
      <c r="B4" s="54" t="s">
        <v>1</v>
      </c>
      <c r="C4" s="3" t="s">
        <v>50</v>
      </c>
      <c r="D4" s="11" t="s">
        <v>36</v>
      </c>
      <c r="E4" s="35">
        <f t="shared" si="0"/>
        <v>108</v>
      </c>
    </row>
    <row r="5" spans="1:5" ht="30" customHeight="1" x14ac:dyDescent="0.25">
      <c r="A5" s="77"/>
      <c r="B5" s="54" t="s">
        <v>5</v>
      </c>
      <c r="C5" s="3" t="s">
        <v>48</v>
      </c>
      <c r="D5" s="11" t="s">
        <v>44</v>
      </c>
      <c r="E5" s="35">
        <f t="shared" si="0"/>
        <v>146</v>
      </c>
    </row>
    <row r="6" spans="1:5" ht="30" customHeight="1" x14ac:dyDescent="0.25">
      <c r="A6" s="77"/>
      <c r="B6" s="54" t="s">
        <v>4</v>
      </c>
      <c r="C6" s="3" t="s">
        <v>50</v>
      </c>
      <c r="D6" s="11" t="s">
        <v>155</v>
      </c>
      <c r="E6" s="35">
        <f t="shared" si="0"/>
        <v>241</v>
      </c>
    </row>
    <row r="7" spans="1:5" ht="30" customHeight="1" x14ac:dyDescent="0.25">
      <c r="A7" s="77"/>
      <c r="B7" s="54" t="s">
        <v>3</v>
      </c>
      <c r="C7" s="3" t="s">
        <v>50</v>
      </c>
      <c r="D7" s="11" t="s">
        <v>43</v>
      </c>
      <c r="E7" s="35">
        <f t="shared" si="0"/>
        <v>131</v>
      </c>
    </row>
    <row r="8" spans="1:5" ht="30" customHeight="1" x14ac:dyDescent="0.25">
      <c r="A8" s="77"/>
      <c r="B8" s="54" t="s">
        <v>6</v>
      </c>
      <c r="C8" s="34" t="s">
        <v>50</v>
      </c>
      <c r="D8" s="16" t="s">
        <v>157</v>
      </c>
      <c r="E8" s="35">
        <f t="shared" si="0"/>
        <v>229</v>
      </c>
    </row>
    <row r="9" spans="1:5" ht="30" customHeight="1" x14ac:dyDescent="0.25">
      <c r="A9" s="78" t="s">
        <v>156</v>
      </c>
      <c r="B9" s="55" t="s">
        <v>78</v>
      </c>
      <c r="C9" s="3" t="s">
        <v>50</v>
      </c>
      <c r="D9" s="16" t="s">
        <v>77</v>
      </c>
      <c r="E9" s="35">
        <f t="shared" si="0"/>
        <v>167</v>
      </c>
    </row>
    <row r="10" spans="1:5" ht="30" customHeight="1" x14ac:dyDescent="0.25">
      <c r="A10" s="78"/>
      <c r="B10" s="55" t="s">
        <v>7</v>
      </c>
      <c r="C10" s="3" t="s">
        <v>49</v>
      </c>
      <c r="D10" s="11" t="s">
        <v>51</v>
      </c>
      <c r="E10" s="35">
        <f t="shared" si="0"/>
        <v>116</v>
      </c>
    </row>
    <row r="11" spans="1:5" ht="30" customHeight="1" x14ac:dyDescent="0.25">
      <c r="A11" s="78"/>
      <c r="B11" s="55" t="s">
        <v>8</v>
      </c>
      <c r="C11" s="3" t="s">
        <v>49</v>
      </c>
      <c r="D11" s="11" t="s">
        <v>86</v>
      </c>
      <c r="E11" s="35">
        <f t="shared" si="0"/>
        <v>169</v>
      </c>
    </row>
    <row r="13" spans="1:5" ht="15.75" thickBot="1" x14ac:dyDescent="0.3">
      <c r="C13" s="36"/>
      <c r="D13" s="36"/>
    </row>
    <row r="14" spans="1:5" x14ac:dyDescent="0.25">
      <c r="C14" s="37" t="s">
        <v>191</v>
      </c>
      <c r="D14" s="38" t="s">
        <v>192</v>
      </c>
    </row>
    <row r="15" spans="1:5" x14ac:dyDescent="0.25">
      <c r="C15" s="37" t="s">
        <v>193</v>
      </c>
      <c r="D15" s="38" t="s">
        <v>196</v>
      </c>
    </row>
    <row r="16" spans="1:5" x14ac:dyDescent="0.25">
      <c r="C16" s="37" t="s">
        <v>194</v>
      </c>
      <c r="D16" s="38" t="s">
        <v>195</v>
      </c>
    </row>
  </sheetData>
  <sheetProtection formatColumns="0" formatRows="0" selectLockedCells="1" selectUnlockedCells="1"/>
  <mergeCells count="2">
    <mergeCell ref="A2:A8"/>
    <mergeCell ref="A9:A11"/>
  </mergeCell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5"/>
  <dimension ref="A1:E6"/>
  <sheetViews>
    <sheetView zoomScaleNormal="100" workbookViewId="0">
      <selection sqref="A1:E1"/>
    </sheetView>
  </sheetViews>
  <sheetFormatPr baseColWidth="10" defaultColWidth="11.5703125" defaultRowHeight="15" x14ac:dyDescent="0.25"/>
  <cols>
    <col min="1" max="1" width="11.5703125" style="9" customWidth="1"/>
    <col min="2" max="2" width="18.42578125" style="8" customWidth="1"/>
    <col min="3" max="3" width="45.5703125" style="8" customWidth="1"/>
    <col min="4" max="4" width="60.140625" style="8" customWidth="1"/>
    <col min="5" max="5" width="47.140625" style="8" customWidth="1"/>
    <col min="6" max="16384" width="11.5703125" style="8"/>
  </cols>
  <sheetData>
    <row r="1" spans="1:5" ht="15.75" thickBot="1" x14ac:dyDescent="0.3">
      <c r="A1" s="49" t="s">
        <v>20</v>
      </c>
      <c r="B1" s="50" t="s">
        <v>21</v>
      </c>
      <c r="C1" s="51" t="s">
        <v>26</v>
      </c>
      <c r="D1" s="51" t="s">
        <v>27</v>
      </c>
      <c r="E1" s="51" t="s">
        <v>35</v>
      </c>
    </row>
    <row r="2" spans="1:5" ht="64.150000000000006" customHeight="1" thickTop="1" x14ac:dyDescent="0.25">
      <c r="A2" s="33">
        <v>2</v>
      </c>
      <c r="B2" s="8" t="s">
        <v>29</v>
      </c>
      <c r="C2" s="31" t="s">
        <v>143</v>
      </c>
      <c r="D2" s="31" t="s">
        <v>150</v>
      </c>
      <c r="E2" s="31" t="s">
        <v>151</v>
      </c>
    </row>
    <row r="3" spans="1:5" ht="64.150000000000006" customHeight="1" x14ac:dyDescent="0.25">
      <c r="A3" s="33">
        <v>1</v>
      </c>
      <c r="B3" s="8" t="s">
        <v>28</v>
      </c>
      <c r="C3" s="31" t="s">
        <v>144</v>
      </c>
      <c r="D3" s="31" t="s">
        <v>147</v>
      </c>
      <c r="E3" s="31" t="s">
        <v>152</v>
      </c>
    </row>
    <row r="4" spans="1:5" ht="64.150000000000006" customHeight="1" x14ac:dyDescent="0.25">
      <c r="A4" s="33">
        <v>0</v>
      </c>
      <c r="B4" s="8" t="s">
        <v>23</v>
      </c>
      <c r="C4" s="31" t="s">
        <v>24</v>
      </c>
      <c r="D4" s="31" t="s">
        <v>24</v>
      </c>
      <c r="E4" s="31" t="s">
        <v>24</v>
      </c>
    </row>
    <row r="5" spans="1:5" ht="64.150000000000006" customHeight="1" x14ac:dyDescent="0.25">
      <c r="A5" s="33">
        <v>-1</v>
      </c>
      <c r="B5" s="8" t="s">
        <v>25</v>
      </c>
      <c r="C5" s="32" t="s">
        <v>145</v>
      </c>
      <c r="D5" s="31" t="s">
        <v>148</v>
      </c>
      <c r="E5" s="31" t="s">
        <v>153</v>
      </c>
    </row>
    <row r="6" spans="1:5" ht="64.150000000000006" customHeight="1" x14ac:dyDescent="0.25">
      <c r="A6" s="33">
        <v>-2</v>
      </c>
      <c r="B6" s="8" t="s">
        <v>22</v>
      </c>
      <c r="C6" s="32" t="s">
        <v>146</v>
      </c>
      <c r="D6" s="31" t="s">
        <v>149</v>
      </c>
      <c r="E6" s="31" t="s">
        <v>154</v>
      </c>
    </row>
  </sheetData>
  <sheetProtection sheet="1" objects="1" scenarios="1" formatColumns="0" formatRows="0" selectLockedCells="1" selectUnlockedCells="1"/>
  <conditionalFormatting sqref="A2:A6">
    <cfRule type="colorScale" priority="1">
      <colorScale>
        <cfvo type="min"/>
        <cfvo type="percentile" val="50"/>
        <cfvo type="max"/>
        <color rgb="FFF8696B"/>
        <color rgb="FFFCFCFF"/>
        <color rgb="FF63BE7B"/>
      </colorScale>
    </cfRule>
  </conditionalFormatting>
  <pageMargins left="0.7" right="0.7" top="0.78740157499999996" bottom="0.78740157499999996" header="0.3" footer="0.3"/>
  <pageSetup paperSize="9"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A1:C17"/>
  <sheetViews>
    <sheetView zoomScaleNormal="100" workbookViewId="0">
      <selection sqref="A1:C1"/>
    </sheetView>
  </sheetViews>
  <sheetFormatPr baseColWidth="10" defaultRowHeight="15" x14ac:dyDescent="0.25"/>
  <cols>
    <col min="1" max="1" width="5.28515625" style="6" customWidth="1"/>
    <col min="2" max="2" width="6.140625" customWidth="1"/>
    <col min="3" max="3" width="88.85546875" customWidth="1"/>
  </cols>
  <sheetData>
    <row r="1" spans="1:3" ht="15.75" thickBot="1" x14ac:dyDescent="0.3">
      <c r="A1" s="49" t="s">
        <v>189</v>
      </c>
      <c r="B1" s="49" t="s">
        <v>30</v>
      </c>
      <c r="C1" s="49" t="s">
        <v>190</v>
      </c>
    </row>
    <row r="2" spans="1:3" ht="15.75" thickTop="1" x14ac:dyDescent="0.25">
      <c r="A2" s="6">
        <v>1</v>
      </c>
      <c r="B2" s="4"/>
      <c r="C2" s="5" t="s">
        <v>62</v>
      </c>
    </row>
    <row r="3" spans="1:3" x14ac:dyDescent="0.25">
      <c r="A3" s="7"/>
      <c r="B3" t="str">
        <f>"S-"&amp;$A$2&amp;"."&amp;ROW()-MATCH($A$2,$A:$A,)</f>
        <v>S-1.1</v>
      </c>
      <c r="C3" t="s">
        <v>55</v>
      </c>
    </row>
    <row r="4" spans="1:3" x14ac:dyDescent="0.25">
      <c r="A4" s="7"/>
      <c r="B4" t="str">
        <f>"S-"&amp;$A$2&amp;"."&amp;ROW()-MATCH($A$2,$A:$A,)</f>
        <v>S-1.2</v>
      </c>
      <c r="C4" t="s">
        <v>56</v>
      </c>
    </row>
    <row r="5" spans="1:3" x14ac:dyDescent="0.25">
      <c r="A5" s="6">
        <v>2</v>
      </c>
      <c r="B5" s="4"/>
      <c r="C5" s="5" t="s">
        <v>58</v>
      </c>
    </row>
    <row r="6" spans="1:3" x14ac:dyDescent="0.25">
      <c r="A6" s="7"/>
      <c r="B6" t="str">
        <f>"S-"&amp;$A$5&amp;"."&amp;ROW()-MATCH($A$5,$A:$A,)</f>
        <v>S-2.1</v>
      </c>
      <c r="C6" t="s">
        <v>59</v>
      </c>
    </row>
    <row r="7" spans="1:3" x14ac:dyDescent="0.25">
      <c r="A7" s="7"/>
      <c r="B7" t="str">
        <f>"S-"&amp;$A$5&amp;"."&amp;ROW()-MATCH($A$5,$A:$A,)</f>
        <v>S-2.2</v>
      </c>
      <c r="C7" t="s">
        <v>60</v>
      </c>
    </row>
    <row r="8" spans="1:3" x14ac:dyDescent="0.25">
      <c r="A8" s="6">
        <v>3</v>
      </c>
      <c r="B8" s="4"/>
      <c r="C8" s="5" t="s">
        <v>61</v>
      </c>
    </row>
    <row r="9" spans="1:3" x14ac:dyDescent="0.25">
      <c r="A9" s="7">
        <f>A8</f>
        <v>3</v>
      </c>
      <c r="B9" t="str">
        <f>"S-"&amp;$A$8&amp;"."&amp;ROW()-MATCH($A$8,$A:$A,)</f>
        <v>S-3.1</v>
      </c>
      <c r="C9" t="s">
        <v>63</v>
      </c>
    </row>
    <row r="10" spans="1:3" x14ac:dyDescent="0.25">
      <c r="A10" s="7">
        <f>A9</f>
        <v>3</v>
      </c>
      <c r="B10" t="str">
        <f>"S-"&amp;$A$8&amp;"."&amp;ROW()-MATCH($A$8,$A:$A,)</f>
        <v>S-3.2</v>
      </c>
      <c r="C10" t="s">
        <v>64</v>
      </c>
    </row>
    <row r="11" spans="1:3" x14ac:dyDescent="0.25">
      <c r="A11" s="6">
        <v>4</v>
      </c>
      <c r="B11" s="4"/>
      <c r="C11" s="5" t="s">
        <v>92</v>
      </c>
    </row>
    <row r="12" spans="1:3" x14ac:dyDescent="0.25">
      <c r="B12" t="str">
        <f>"S-"&amp;$A$11&amp;"."&amp;ROW()-MATCH($A$11,$A:$A,)</f>
        <v>S-4.1</v>
      </c>
      <c r="C12" t="s">
        <v>96</v>
      </c>
    </row>
    <row r="13" spans="1:3" x14ac:dyDescent="0.25">
      <c r="B13" t="str">
        <f>"S-"&amp;$A$11&amp;"."&amp;ROW()-MATCH($A$11,$A:$A,)</f>
        <v>S-4.2</v>
      </c>
      <c r="C13" t="s">
        <v>98</v>
      </c>
    </row>
    <row r="14" spans="1:3" x14ac:dyDescent="0.25">
      <c r="B14" t="str">
        <f>"S-"&amp;$A$11&amp;"."&amp;ROW()-MATCH($A$11,$A:$A,)</f>
        <v>S-4.3</v>
      </c>
      <c r="C14" s="28" t="s">
        <v>97</v>
      </c>
    </row>
    <row r="15" spans="1:3" x14ac:dyDescent="0.25">
      <c r="A15" s="6">
        <v>5</v>
      </c>
      <c r="C15" s="5" t="s">
        <v>93</v>
      </c>
    </row>
    <row r="16" spans="1:3" x14ac:dyDescent="0.25">
      <c r="B16" t="str">
        <f>"S-"&amp;$A$15&amp;"."&amp;ROW()-MATCH($A$15,$A:$A,)</f>
        <v>S-5.1</v>
      </c>
      <c r="C16" t="s">
        <v>94</v>
      </c>
    </row>
    <row r="17" spans="2:3" x14ac:dyDescent="0.25">
      <c r="B17" t="str">
        <f>"S-"&amp;$A$15&amp;"."&amp;ROW()-MATCH($A$15,$A:$A,)</f>
        <v>S-5.2</v>
      </c>
      <c r="C17" t="s">
        <v>95</v>
      </c>
    </row>
  </sheetData>
  <sheetProtection sheet="1" objects="1" scenarios="1" formatColumns="0" formatRows="0" selectLockedCells="1" selectUnlockedCells="1"/>
  <pageMargins left="0.7" right="0.7" top="0.78740157499999996" bottom="0.78740157499999996"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A1:E8"/>
  <sheetViews>
    <sheetView workbookViewId="0">
      <selection activeCell="D10" sqref="D10"/>
    </sheetView>
  </sheetViews>
  <sheetFormatPr baseColWidth="10" defaultColWidth="11.5703125" defaultRowHeight="15" x14ac:dyDescent="0.25"/>
  <cols>
    <col min="1" max="1" width="21.140625" style="1" customWidth="1"/>
    <col min="2" max="2" width="16.28515625" style="1" customWidth="1"/>
    <col min="3" max="3" width="17.42578125" style="1" customWidth="1"/>
    <col min="4" max="4" width="87.7109375" style="1" customWidth="1"/>
    <col min="5" max="16384" width="11.5703125" style="1"/>
  </cols>
  <sheetData>
    <row r="1" spans="1:5" ht="15.75" thickBot="1" x14ac:dyDescent="0.3">
      <c r="A1" s="49" t="s">
        <v>207</v>
      </c>
      <c r="B1" s="11"/>
      <c r="C1" s="49" t="s">
        <v>222</v>
      </c>
      <c r="D1" s="49" t="s">
        <v>190</v>
      </c>
    </row>
    <row r="2" spans="1:5" ht="45.75" thickTop="1" x14ac:dyDescent="0.25">
      <c r="A2" s="29" t="s">
        <v>203</v>
      </c>
      <c r="C2" s="29" t="s">
        <v>212</v>
      </c>
      <c r="D2" s="1" t="s">
        <v>219</v>
      </c>
      <c r="E2" s="35"/>
    </row>
    <row r="3" spans="1:5" ht="30" x14ac:dyDescent="0.25">
      <c r="A3" s="29" t="s">
        <v>204</v>
      </c>
      <c r="C3" s="29" t="s">
        <v>210</v>
      </c>
      <c r="D3" s="1" t="s">
        <v>217</v>
      </c>
      <c r="E3" s="35"/>
    </row>
    <row r="4" spans="1:5" x14ac:dyDescent="0.25">
      <c r="A4" s="29" t="s">
        <v>205</v>
      </c>
      <c r="C4" s="29" t="s">
        <v>231</v>
      </c>
      <c r="D4" s="1" t="s">
        <v>232</v>
      </c>
      <c r="E4" s="35"/>
    </row>
    <row r="5" spans="1:5" ht="30" x14ac:dyDescent="0.25">
      <c r="A5" s="29" t="s">
        <v>206</v>
      </c>
      <c r="C5" s="29" t="s">
        <v>209</v>
      </c>
      <c r="D5" s="1" t="s">
        <v>216</v>
      </c>
      <c r="E5" s="35"/>
    </row>
    <row r="6" spans="1:5" ht="30" x14ac:dyDescent="0.25">
      <c r="A6" s="29" t="s">
        <v>227</v>
      </c>
      <c r="C6" s="29" t="s">
        <v>214</v>
      </c>
      <c r="D6" s="1" t="s">
        <v>221</v>
      </c>
      <c r="E6" s="35"/>
    </row>
    <row r="7" spans="1:5" ht="30" x14ac:dyDescent="0.25">
      <c r="C7" s="29" t="s">
        <v>213</v>
      </c>
      <c r="D7" s="1" t="s">
        <v>220</v>
      </c>
      <c r="E7" s="35"/>
    </row>
    <row r="8" spans="1:5" ht="30" x14ac:dyDescent="0.25">
      <c r="C8" s="29" t="s">
        <v>211</v>
      </c>
      <c r="D8" s="1" t="s">
        <v>218</v>
      </c>
    </row>
  </sheetData>
  <sortState xmlns:xlrd2="http://schemas.microsoft.com/office/spreadsheetml/2017/richdata2" ref="C2:D8">
    <sortCondition ref="C2:C8"/>
  </sortState>
  <pageMargins left="0.7" right="0.7" top="0.78740157499999996" bottom="0.78740157499999996" header="0.3" footer="0.3"/>
  <pageSetup paperSize="9"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4">
    <tabColor theme="0" tint="-0.499984740745262"/>
  </sheetPr>
  <dimension ref="A1:H13"/>
  <sheetViews>
    <sheetView zoomScaleNormal="100" workbookViewId="0">
      <selection activeCell="I27" sqref="I27"/>
    </sheetView>
  </sheetViews>
  <sheetFormatPr baseColWidth="10" defaultColWidth="11.5703125" defaultRowHeight="15" x14ac:dyDescent="0.25"/>
  <cols>
    <col min="1" max="1" width="6.42578125" style="1" customWidth="1"/>
    <col min="2" max="2" width="17.28515625" style="1" customWidth="1"/>
    <col min="3" max="3" width="10.7109375" style="1" customWidth="1"/>
    <col min="4" max="5" width="11.5703125" style="10"/>
    <col min="6" max="6" width="8.5703125" style="10" customWidth="1"/>
    <col min="7" max="7" width="66.85546875" style="1" customWidth="1"/>
    <col min="8" max="16384" width="11.5703125" style="1"/>
  </cols>
  <sheetData>
    <row r="1" spans="1:8" ht="18" customHeight="1" x14ac:dyDescent="0.25">
      <c r="A1" s="79" t="s">
        <v>13</v>
      </c>
      <c r="B1" s="79"/>
      <c r="C1" s="39"/>
      <c r="D1" s="80" t="s">
        <v>140</v>
      </c>
      <c r="E1" s="81"/>
      <c r="F1" s="81"/>
      <c r="G1" s="81"/>
      <c r="H1" s="81"/>
    </row>
    <row r="2" spans="1:8" ht="15.75" thickBot="1" x14ac:dyDescent="0.3">
      <c r="A2" s="12" t="s">
        <v>45</v>
      </c>
      <c r="B2" s="12" t="s">
        <v>46</v>
      </c>
      <c r="D2" s="30" t="s">
        <v>126</v>
      </c>
      <c r="E2" s="30" t="s">
        <v>125</v>
      </c>
      <c r="F2" s="30" t="s">
        <v>129</v>
      </c>
      <c r="G2" s="29" t="s">
        <v>127</v>
      </c>
    </row>
    <row r="3" spans="1:8" ht="15.75" thickTop="1" x14ac:dyDescent="0.25">
      <c r="A3" s="1" t="s">
        <v>12</v>
      </c>
      <c r="B3" s="1" t="s">
        <v>11</v>
      </c>
      <c r="D3" s="10">
        <v>-2</v>
      </c>
      <c r="E3" s="10">
        <v>-2</v>
      </c>
      <c r="F3" s="10">
        <f>QUOTIENT(D3,2)+D3+E3+6</f>
        <v>1</v>
      </c>
      <c r="G3" s="1" t="s">
        <v>134</v>
      </c>
    </row>
    <row r="4" spans="1:8" ht="103.9" customHeight="1" x14ac:dyDescent="0.25">
      <c r="A4" s="1" t="s">
        <v>14</v>
      </c>
      <c r="B4" s="1" t="s">
        <v>15</v>
      </c>
      <c r="D4" s="10">
        <v>-2</v>
      </c>
      <c r="E4" s="10">
        <v>-1</v>
      </c>
      <c r="F4" s="10">
        <f t="shared" ref="F4:F13" si="0">QUOTIENT(D4,2)+D4+E4+6</f>
        <v>2</v>
      </c>
      <c r="G4" s="1" t="s">
        <v>131</v>
      </c>
    </row>
    <row r="5" spans="1:8" x14ac:dyDescent="0.25">
      <c r="A5" s="1" t="s">
        <v>16</v>
      </c>
      <c r="B5" s="1" t="s">
        <v>17</v>
      </c>
      <c r="D5" s="10">
        <v>-2</v>
      </c>
      <c r="E5" s="10">
        <v>0</v>
      </c>
      <c r="F5" s="10">
        <f t="shared" si="0"/>
        <v>3</v>
      </c>
      <c r="G5" s="1" t="s">
        <v>133</v>
      </c>
    </row>
    <row r="6" spans="1:8" x14ac:dyDescent="0.25">
      <c r="A6" s="1" t="s">
        <v>18</v>
      </c>
      <c r="B6" s="1" t="s">
        <v>19</v>
      </c>
      <c r="D6" s="10">
        <v>-1</v>
      </c>
      <c r="E6" s="10">
        <v>-1</v>
      </c>
      <c r="F6" s="10">
        <f t="shared" si="0"/>
        <v>4</v>
      </c>
      <c r="G6" s="1" t="s">
        <v>135</v>
      </c>
    </row>
    <row r="7" spans="1:8" x14ac:dyDescent="0.25">
      <c r="A7" s="1" t="s">
        <v>117</v>
      </c>
      <c r="B7" s="1" t="s">
        <v>116</v>
      </c>
      <c r="D7" s="10">
        <v>-1</v>
      </c>
      <c r="E7" s="10">
        <v>0</v>
      </c>
      <c r="F7" s="10">
        <f t="shared" si="0"/>
        <v>5</v>
      </c>
      <c r="G7" s="1" t="s">
        <v>132</v>
      </c>
    </row>
    <row r="8" spans="1:8" ht="25.15" customHeight="1" x14ac:dyDescent="0.25">
      <c r="D8" s="10">
        <v>0</v>
      </c>
      <c r="E8" s="10">
        <v>0</v>
      </c>
      <c r="F8" s="10">
        <f t="shared" si="0"/>
        <v>6</v>
      </c>
      <c r="G8" s="1" t="s">
        <v>139</v>
      </c>
    </row>
    <row r="9" spans="1:8" ht="30" x14ac:dyDescent="0.25">
      <c r="D9" s="10">
        <v>1</v>
      </c>
      <c r="E9" s="10">
        <v>0</v>
      </c>
      <c r="F9" s="10">
        <f t="shared" si="0"/>
        <v>7</v>
      </c>
      <c r="G9" s="1" t="s">
        <v>136</v>
      </c>
    </row>
    <row r="10" spans="1:8" x14ac:dyDescent="0.25">
      <c r="D10" s="10">
        <v>1</v>
      </c>
      <c r="E10" s="10">
        <v>1</v>
      </c>
      <c r="F10" s="10">
        <f t="shared" si="0"/>
        <v>8</v>
      </c>
      <c r="G10" s="1" t="s">
        <v>130</v>
      </c>
    </row>
    <row r="11" spans="1:8" ht="30" x14ac:dyDescent="0.25">
      <c r="D11" s="10">
        <v>2</v>
      </c>
      <c r="E11" s="10">
        <v>0</v>
      </c>
      <c r="F11" s="10">
        <f t="shared" si="0"/>
        <v>9</v>
      </c>
      <c r="G11" s="1" t="s">
        <v>128</v>
      </c>
    </row>
    <row r="12" spans="1:8" x14ac:dyDescent="0.25">
      <c r="D12" s="10">
        <v>2</v>
      </c>
      <c r="E12" s="10">
        <v>1</v>
      </c>
      <c r="F12" s="10">
        <f t="shared" si="0"/>
        <v>10</v>
      </c>
      <c r="G12" s="1" t="s">
        <v>137</v>
      </c>
    </row>
    <row r="13" spans="1:8" x14ac:dyDescent="0.25">
      <c r="D13" s="10">
        <v>2</v>
      </c>
      <c r="E13" s="10">
        <v>2</v>
      </c>
      <c r="F13" s="10">
        <f t="shared" si="0"/>
        <v>11</v>
      </c>
      <c r="G13" s="1" t="s">
        <v>138</v>
      </c>
    </row>
  </sheetData>
  <sheetProtection algorithmName="SHA-512" hashValue="OFjk5+vi4YdjszTG9WIqkZGO5SNWVEU/r/GvebJXgNh+rbJn3DrtRACx9CkzU9uuB03WDsRxhFaqglfu4sKjYw==" saltValue="XEaDZjOv+MGL3IiyWz1XpA==" spinCount="100000" sheet="1" objects="1" scenarios="1" selectLockedCells="1" selectUnlockedCells="1"/>
  <mergeCells count="2">
    <mergeCell ref="A1:B1"/>
    <mergeCell ref="D1:H1"/>
  </mergeCells>
  <pageMargins left="0.7" right="0.7" top="0.78740157499999996" bottom="0.78740157499999996" header="0.3" footer="0.3"/>
  <pageSetup paperSize="9" orientation="portrait" horizontalDpi="4294967293"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1">
    <tabColor theme="0" tint="-0.499984740745262"/>
  </sheetPr>
  <dimension ref="A1:BM9"/>
  <sheetViews>
    <sheetView workbookViewId="0">
      <selection activeCell="K28" sqref="K28"/>
    </sheetView>
  </sheetViews>
  <sheetFormatPr baseColWidth="10" defaultRowHeight="15" x14ac:dyDescent="0.25"/>
  <sheetData>
    <row r="1" spans="1:65" x14ac:dyDescent="0.25">
      <c r="A1">
        <v>-1</v>
      </c>
      <c r="B1">
        <v>0</v>
      </c>
    </row>
    <row r="2" spans="1:65" x14ac:dyDescent="0.25">
      <c r="A2">
        <v>-2</v>
      </c>
      <c r="B2">
        <v>0</v>
      </c>
    </row>
    <row r="3" spans="1:65" x14ac:dyDescent="0.25">
      <c r="A3">
        <v>0</v>
      </c>
      <c r="B3">
        <v>1</v>
      </c>
      <c r="Y3">
        <v>1</v>
      </c>
      <c r="AC3">
        <v>1</v>
      </c>
      <c r="AG3">
        <v>1</v>
      </c>
      <c r="BI3">
        <v>1</v>
      </c>
      <c r="BJ3">
        <v>1</v>
      </c>
      <c r="BL3">
        <v>1</v>
      </c>
      <c r="BM3">
        <v>1</v>
      </c>
    </row>
    <row r="4" spans="1:65" x14ac:dyDescent="0.25">
      <c r="C4">
        <v>0</v>
      </c>
      <c r="D4">
        <v>2</v>
      </c>
      <c r="F4">
        <v>2</v>
      </c>
      <c r="X4">
        <v>-1</v>
      </c>
      <c r="Y4">
        <v>1</v>
      </c>
      <c r="AC4">
        <v>1</v>
      </c>
      <c r="BM4">
        <v>1</v>
      </c>
    </row>
    <row r="5" spans="1:65" x14ac:dyDescent="0.25">
      <c r="G5">
        <v>0</v>
      </c>
      <c r="I5">
        <v>0</v>
      </c>
      <c r="U5">
        <v>0</v>
      </c>
      <c r="V5">
        <v>0</v>
      </c>
      <c r="W5">
        <v>0</v>
      </c>
      <c r="Z5">
        <v>0</v>
      </c>
      <c r="AA5">
        <v>0</v>
      </c>
      <c r="AB5">
        <v>0</v>
      </c>
      <c r="BK5">
        <v>0</v>
      </c>
    </row>
    <row r="6" spans="1:65" x14ac:dyDescent="0.25">
      <c r="E6">
        <v>-1</v>
      </c>
    </row>
    <row r="7" spans="1:65" x14ac:dyDescent="0.25">
      <c r="AD7">
        <v>-1</v>
      </c>
    </row>
    <row r="8" spans="1:65" x14ac:dyDescent="0.25">
      <c r="AE8">
        <v>-1</v>
      </c>
    </row>
    <row r="9" spans="1:65" x14ac:dyDescent="0.25">
      <c r="AF9">
        <v>0</v>
      </c>
    </row>
  </sheetData>
  <sheetProtection selectLockedCells="1" selectUnlockedCell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17</vt:i4>
      </vt:variant>
    </vt:vector>
  </HeadingPairs>
  <TitlesOfParts>
    <vt:vector size="28" baseType="lpstr">
      <vt:lpstr>Stakeholders</vt:lpstr>
      <vt:lpstr>Goals &amp; Risks</vt:lpstr>
      <vt:lpstr>Requirements</vt:lpstr>
      <vt:lpstr>Epics</vt:lpstr>
      <vt:lpstr>Who does what</vt:lpstr>
      <vt:lpstr>_Dimensions</vt:lpstr>
      <vt:lpstr>_Effects</vt:lpstr>
      <vt:lpstr>_Scenarios</vt:lpstr>
      <vt:lpstr>_Domains</vt:lpstr>
      <vt:lpstr>_Param</vt:lpstr>
      <vt:lpstr>_GRREQ</vt:lpstr>
      <vt:lpstr>Abbreviations</vt:lpstr>
      <vt:lpstr>CompTypes</vt:lpstr>
      <vt:lpstr>CompTypes_and_Explanation</vt:lpstr>
      <vt:lpstr>Dimensions</vt:lpstr>
      <vt:lpstr>Dims_And_Explanation</vt:lpstr>
      <vt:lpstr>Domains</vt:lpstr>
      <vt:lpstr>GR_Affected_Stakeholders</vt:lpstr>
      <vt:lpstr>GR_All</vt:lpstr>
      <vt:lpstr>GR_Degrees</vt:lpstr>
      <vt:lpstr>GR_Dims_System_might_affect</vt:lpstr>
      <vt:lpstr>GR_IDs</vt:lpstr>
      <vt:lpstr>Realization_Explanation</vt:lpstr>
      <vt:lpstr>Req_IDs</vt:lpstr>
      <vt:lpstr>Reqs_and_Explanation</vt:lpstr>
      <vt:lpstr>Scenarios</vt:lpstr>
      <vt:lpstr>Scens_And_Explanation</vt:lpstr>
      <vt:lpstr>Stakeholders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2020-01-16T11:12:38Z</dcterms:modified>
</cp:coreProperties>
</file>